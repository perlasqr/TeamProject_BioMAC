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A21AEE1D-4466-4A9B-AB40-8E8220E4BAA9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Main" sheetId="1" r:id="rId1"/>
    <sheet name="OtherDBs" sheetId="9" r:id="rId2"/>
    <sheet name="DB1" sheetId="2" r:id="rId3"/>
    <sheet name="DB2" sheetId="3" r:id="rId4"/>
    <sheet name="DB3" sheetId="4" r:id="rId5"/>
    <sheet name="DB4" sheetId="5" r:id="rId6"/>
    <sheet name="DB5" sheetId="6" r:id="rId7"/>
    <sheet name="DB Grouvel" sheetId="7" r:id="rId8"/>
    <sheet name="DB Han" sheetId="8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8" l="1"/>
  <c r="H12" i="7"/>
  <c r="L2" i="6" a="1"/>
  <c r="L47" i="6" s="1"/>
  <c r="H15" i="3"/>
  <c r="H52" i="2"/>
  <c r="L12" i="2" a="1"/>
  <c r="L12" i="2" s="1"/>
  <c r="L14" i="6" l="1"/>
  <c r="L38" i="6"/>
  <c r="L50" i="6"/>
  <c r="L3" i="6"/>
  <c r="L39" i="6"/>
  <c r="L16" i="2"/>
  <c r="L5" i="6"/>
  <c r="L17" i="6"/>
  <c r="L29" i="6"/>
  <c r="L41" i="6"/>
  <c r="L17" i="2"/>
  <c r="L6" i="6"/>
  <c r="L18" i="6"/>
  <c r="L30" i="6"/>
  <c r="L42" i="6"/>
  <c r="L18" i="2"/>
  <c r="L7" i="6"/>
  <c r="L19" i="6"/>
  <c r="L31" i="6"/>
  <c r="L43" i="6"/>
  <c r="L19" i="2"/>
  <c r="L8" i="6"/>
  <c r="L20" i="6"/>
  <c r="L32" i="6"/>
  <c r="L44" i="6"/>
  <c r="L12" i="6"/>
  <c r="L24" i="6"/>
  <c r="L36" i="6"/>
  <c r="L48" i="6"/>
  <c r="L13" i="2"/>
  <c r="L26" i="6"/>
  <c r="L14" i="2"/>
  <c r="L15" i="6"/>
  <c r="L27" i="6"/>
  <c r="L51" i="6"/>
  <c r="L15" i="2"/>
  <c r="L4" i="6"/>
  <c r="L16" i="6"/>
  <c r="L28" i="6"/>
  <c r="L40" i="6"/>
  <c r="L52" i="6"/>
  <c r="L20" i="2"/>
  <c r="L9" i="6"/>
  <c r="L21" i="6"/>
  <c r="L33" i="6"/>
  <c r="L45" i="6"/>
  <c r="L21" i="2"/>
  <c r="L10" i="6"/>
  <c r="L22" i="6"/>
  <c r="L34" i="6"/>
  <c r="L46" i="6"/>
  <c r="L2" i="6"/>
  <c r="L13" i="6"/>
  <c r="L25" i="6"/>
  <c r="L37" i="6"/>
  <c r="L49" i="6"/>
  <c r="L11" i="6"/>
  <c r="L23" i="6"/>
  <c r="L35" i="6"/>
</calcChain>
</file>

<file path=xl/sharedStrings.xml><?xml version="1.0" encoding="utf-8"?>
<sst xmlns="http://schemas.openxmlformats.org/spreadsheetml/2006/main" count="472" uniqueCount="137">
  <si>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</si>
  <si>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</si>
  <si>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</si>
  <si>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</si>
  <si>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</si>
  <si>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</si>
  <si>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</si>
  <si>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</si>
  <si>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</si>
  <si>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</si>
  <si>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Geographical Region</t>
  </si>
  <si>
    <t>Trials per Participant</t>
  </si>
  <si>
    <t>No. Markers</t>
  </si>
  <si>
    <t>No. Force Plates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</si>
  <si>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</si>
  <si>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</si>
  <si>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</si>
  <si>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</si>
  <si>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</si>
  <si>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</si>
  <si>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</si>
  <si>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</si>
  <si>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</si>
  <si>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</si>
  <si>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</si>
  <si>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 xml:space="preserve">38 cutaneous reflective markers </t>
  </si>
  <si>
    <t>https://www.nature.com/articles/s41597-025-05113-6</t>
  </si>
  <si>
    <t>Simonlehner</t>
  </si>
  <si>
    <t>GaitRec-VR: 3D Gait Analysis for Walking Overground with and without a Head-Mounted-Display in Virtual Reality</t>
  </si>
  <si>
    <t>self-selected speeds</t>
  </si>
  <si>
    <t>55 spherical markers</t>
  </si>
  <si>
    <t>https://phaidra.ustp.at/o:5587</t>
  </si>
  <si>
    <t>https://www.nature.com/articles/s41597-024-03939-0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</si>
  <si>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</si>
  <si>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</si>
  <si>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</si>
  <si>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</si>
  <si>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</si>
  <si>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</si>
  <si>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</si>
  <si>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</si>
  <si>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</si>
  <si>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</si>
  <si>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</si>
  <si>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</si>
  <si>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</si>
  <si>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</si>
  <si>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</si>
  <si>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</si>
  <si>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</si>
  <si>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</si>
  <si>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</si>
  <si>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</si>
  <si>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</si>
  <si>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</si>
  <si>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</si>
  <si>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</si>
  <si>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</si>
  <si>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</si>
  <si>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</si>
  <si>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</si>
  <si>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</si>
  <si>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</si>
  <si>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</si>
  <si>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</si>
  <si>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</si>
  <si>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</si>
  <si>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</si>
  <si>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</si>
  <si>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Mass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</si>
  <si>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</si>
  <si>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</si>
  <si>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</si>
  <si>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</si>
  <si>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</si>
  <si>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</si>
  <si>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</si>
  <si>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</si>
  <si>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</si>
  <si>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</si>
  <si>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</si>
  <si>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</si>
  <si>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</si>
  <si>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</si>
  <si>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</si>
  <si>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Walk trials (files)</t>
  </si>
  <si>
    <t xml:space="preserve">No ID (Force Status): T06, T10, T12, T22 </t>
  </si>
  <si>
    <t>No ID (Force Status): T04, T10</t>
  </si>
  <si>
    <t>No ID (Force Status) at all</t>
  </si>
  <si>
    <t>Error when processing in AddBiomechanics</t>
  </si>
  <si>
    <t>F</t>
  </si>
  <si>
    <t>Participant</t>
  </si>
  <si>
    <t>No ID at all</t>
  </si>
  <si>
    <t>No ID (force status): T08, T35, T38</t>
  </si>
  <si>
    <t>No ID (force status): T19, T24, T32, T39, T40, T41</t>
  </si>
  <si>
    <t>No ID (force status): T02, T25, T26, T33, T45, T46, T47</t>
  </si>
  <si>
    <t>Weight (kg)</t>
  </si>
  <si>
    <t>NA</t>
  </si>
  <si>
    <t>na</t>
  </si>
  <si>
    <t>1:3 (No ID)</t>
  </si>
  <si>
    <t>4 (1st half No ID, 2nd half wrong)</t>
  </si>
  <si>
    <t>No ID</t>
  </si>
  <si>
    <t>PROCESSING</t>
  </si>
  <si>
    <t>Horst</t>
  </si>
  <si>
    <t>Paper Link</t>
  </si>
  <si>
    <t>Download Link</t>
  </si>
  <si>
    <t>https://www.nature.com/articles/s41597-019-0124-4</t>
  </si>
  <si>
    <t>A public dataset of overground walking kinetics and full-body kinematics in healthy adult individuals</t>
  </si>
  <si>
    <t>20 trials</t>
  </si>
  <si>
    <t>62 retro reflective markers</t>
  </si>
  <si>
    <t>https://www.nature.com/articles/s41598-019-38748-8</t>
  </si>
  <si>
    <t>https://data.mendeley.com/datasets/svx74xcrjr/3</t>
  </si>
  <si>
    <t>Kuopio gait dataset: motion capture, inertial measurement and video-based sagittal-plane keypoint data from walking trials</t>
  </si>
  <si>
    <t>Lavikainen</t>
  </si>
  <si>
    <t>https://zenodo.org/records/10559504</t>
  </si>
  <si>
    <t>https://www.sciencedirect.com/science/article/pii/S2352340924008059#refdata001</t>
  </si>
  <si>
    <t>77 ± 14.2</t>
  </si>
  <si>
    <t>1.74 ± .07</t>
  </si>
  <si>
    <t>Height range (m)</t>
  </si>
  <si>
    <t>Weight range (kg)</t>
  </si>
  <si>
    <t>1.74 ± 0.09</t>
  </si>
  <si>
    <t>1.70 ± 0.06</t>
  </si>
  <si>
    <t>1.74 ± 0.10</t>
  </si>
  <si>
    <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>12.3</t>
    </r>
  </si>
  <si>
    <t>73.9 ± 15.7</t>
  </si>
  <si>
    <t>67.9 ±  11.3</t>
  </si>
  <si>
    <t>23.1 ±  2.7</t>
  </si>
  <si>
    <t>21 – 56</t>
  </si>
  <si>
    <t>29.7 ± 7.9</t>
  </si>
  <si>
    <t>20 – 25</t>
  </si>
  <si>
    <t>19 – 67</t>
  </si>
  <si>
    <t>1.65 – 1.85</t>
  </si>
  <si>
    <t xml:space="preserve">55 – 85 </t>
  </si>
  <si>
    <t>slow, comfortable, fast</t>
  </si>
  <si>
    <t>60 trials</t>
  </si>
  <si>
    <t>Overground, barefoot</t>
  </si>
  <si>
    <t>42 reflective markers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</si>
</sst>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1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0" borderId="0" xfId="0" applyFill="1"/>
    <xf numFmtId="0" fontId="4" fillId="0" borderId="0" xfId="1"/>
    <xf numFmtId="0" fontId="4" fillId="0" borderId="0" xfId="1" applyAlignment="1">
      <alignment wrapText="1"/>
    </xf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iencedirect.com/science/article/pii/S2352340924008059" TargetMode="External"/><Relationship Id="rId3" Type="http://schemas.openxmlformats.org/officeDocument/2006/relationships/hyperlink" Target="https://www.nature.com/articles/s41597-025-05113-6" TargetMode="External"/><Relationship Id="rId7" Type="http://schemas.openxmlformats.org/officeDocument/2006/relationships/hyperlink" Target="https://data.mendeley.com/datasets/svx74xcrjr/3" TargetMode="External"/><Relationship Id="rId2" Type="http://schemas.openxmlformats.org/officeDocument/2006/relationships/hyperlink" Target="https://www.nature.com/articles/s41597-019-0124-4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8-019-38748-8" TargetMode="External"/><Relationship Id="rId5" Type="http://schemas.openxmlformats.org/officeDocument/2006/relationships/hyperlink" Target="https://www.nature.com/articles/s41597-024-03939-0" TargetMode="External"/><Relationship Id="rId4" Type="http://schemas.openxmlformats.org/officeDocument/2006/relationships/hyperlink" Target="https://phaidra.ustp.at/o:5587" TargetMode="External"/><Relationship Id="rId9" Type="http://schemas.openxmlformats.org/officeDocument/2006/relationships/hyperlink" Target="https://zenodo.org/records/105595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97-023-02077-3" TargetMode="External"/><Relationship Id="rId2" Type="http://schemas.openxmlformats.org/officeDocument/2006/relationships/hyperlink" Target="https://csr.bu.edu/groundlink/" TargetMode="External"/><Relationship Id="rId1" Type="http://schemas.openxmlformats.org/officeDocument/2006/relationships/hyperlink" Target="https://dl.acm.org/doi/epdf/10.1145/3610548.3618247" TargetMode="External"/><Relationship Id="rId6" Type="http://schemas.openxmlformats.org/officeDocument/2006/relationships/hyperlink" Target="https://arxiv.org/abs/2504.14602" TargetMode="External"/><Relationship Id="rId5" Type="http://schemas.openxmlformats.org/officeDocument/2006/relationships/hyperlink" Target="https://www.nature.com/articles/s41597-025-06535-y" TargetMode="External"/><Relationship Id="rId4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1"/>
  <sheetViews>
    <sheetView tabSelected="1" zoomScale="85" zoomScaleNormal="85" workbookViewId="0">
      <pane ySplit="1" topLeftCell="A2" activePane="bottomLeft" state="frozen"/>
      <selection pane="bottomLeft" activeCell="K6" sqref="K6"/>
    </sheetView>
  </sheetViews>
  <sheetFormatPr defaultColWidth="8.88671875" defaultRowHeight="14.4"/>
  <cols>
    <col min="1" max="1" width="11.88671875" customWidth="1"/>
    <col min="2" max="2" width="12.44140625" style="1" customWidth="1"/>
    <col min="3" max="3" width="18.109375" customWidth="1"/>
    <col min="4" max="4" width="29" customWidth="1"/>
    <col min="5" max="5" width="36" customWidth="1"/>
    <col min="6" max="6" width="23.6640625" style="1" customWidth="1"/>
    <col min="7" max="7" width="13.44140625" customWidth="1"/>
    <col min="9" max="9" width="9.88671875" customWidth="1"/>
    <col min="10" max="10" width="12.6640625" customWidth="1"/>
    <col min="11" max="11" width="16.88671875" bestFit="1" customWidth="1"/>
    <col min="12" max="12" width="17.6640625" bestFit="1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34.88671875" customWidth="1"/>
    <col min="18" max="18" width="40.88671875" style="1" customWidth="1"/>
    <col min="19" max="19" width="29.88671875" customWidth="1"/>
  </cols>
  <sheetData>
    <row r="1" spans="1:19" s="2" customFormat="1" ht="15.6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118</v>
      </c>
      <c r="L1" s="2" t="s">
        <v>119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104</v>
      </c>
      <c r="R1" s="3" t="s">
        <v>105</v>
      </c>
    </row>
    <row r="2" spans="1:19" ht="72">
      <c r="A2">
        <v>1</v>
      </c>
      <c r="B2" s="1" t="s">
        <v>14</v>
      </c>
      <c r="C2">
        <v>2019</v>
      </c>
      <c r="D2" s="1" t="s">
        <v>15</v>
      </c>
      <c r="E2" t="s">
        <v>16</v>
      </c>
      <c r="F2" s="1" t="s">
        <v>17</v>
      </c>
      <c r="G2">
        <v>50</v>
      </c>
      <c r="H2">
        <v>24</v>
      </c>
      <c r="I2">
        <v>26</v>
      </c>
      <c r="J2" t="s">
        <v>130</v>
      </c>
      <c r="K2" t="s">
        <v>120</v>
      </c>
      <c r="L2" t="s">
        <v>123</v>
      </c>
      <c r="M2" t="s">
        <v>18</v>
      </c>
      <c r="N2" s="1" t="s">
        <v>19</v>
      </c>
      <c r="O2" t="s">
        <v>20</v>
      </c>
      <c r="P2">
        <v>2</v>
      </c>
      <c r="Q2" s="12" t="s">
        <v>106</v>
      </c>
      <c r="R2" s="4" t="s">
        <v>21</v>
      </c>
    </row>
    <row r="3" spans="1:19" ht="43.2">
      <c r="A3">
        <v>2</v>
      </c>
      <c r="B3" s="1" t="s">
        <v>22</v>
      </c>
      <c r="C3">
        <v>2025</v>
      </c>
      <c r="D3" s="1" t="s">
        <v>23</v>
      </c>
      <c r="E3" t="s">
        <v>16</v>
      </c>
      <c r="F3" s="1" t="s">
        <v>24</v>
      </c>
      <c r="G3">
        <v>13</v>
      </c>
      <c r="H3" s="1">
        <v>0</v>
      </c>
      <c r="I3" s="1">
        <v>13</v>
      </c>
      <c r="J3" t="s">
        <v>129</v>
      </c>
      <c r="K3" t="s">
        <v>131</v>
      </c>
      <c r="L3" t="s">
        <v>132</v>
      </c>
      <c r="O3" s="1" t="s">
        <v>25</v>
      </c>
      <c r="P3">
        <v>2</v>
      </c>
      <c r="Q3" s="11" t="s">
        <v>26</v>
      </c>
    </row>
    <row r="4" spans="1:19" ht="57.6">
      <c r="A4">
        <v>3</v>
      </c>
      <c r="B4" s="1" t="s">
        <v>27</v>
      </c>
      <c r="C4">
        <v>2024</v>
      </c>
      <c r="D4" s="1" t="s">
        <v>28</v>
      </c>
      <c r="E4" t="s">
        <v>16</v>
      </c>
      <c r="F4" s="1" t="s">
        <v>29</v>
      </c>
      <c r="G4">
        <v>20</v>
      </c>
      <c r="H4">
        <v>11</v>
      </c>
      <c r="I4">
        <v>9</v>
      </c>
      <c r="J4" t="s">
        <v>127</v>
      </c>
      <c r="K4" t="s">
        <v>121</v>
      </c>
      <c r="L4" t="s">
        <v>124</v>
      </c>
      <c r="O4" t="s">
        <v>30</v>
      </c>
      <c r="P4">
        <v>1</v>
      </c>
      <c r="Q4" s="11" t="s">
        <v>32</v>
      </c>
      <c r="R4" s="12" t="s">
        <v>31</v>
      </c>
    </row>
    <row r="5" spans="1:19" ht="57.6">
      <c r="A5" s="10">
        <v>4</v>
      </c>
      <c r="B5" s="1" t="s">
        <v>103</v>
      </c>
      <c r="C5">
        <v>2019</v>
      </c>
      <c r="D5" s="1" t="s">
        <v>107</v>
      </c>
      <c r="E5" t="s">
        <v>135</v>
      </c>
      <c r="F5" s="1" t="s">
        <v>29</v>
      </c>
      <c r="G5">
        <v>57</v>
      </c>
      <c r="H5">
        <v>29</v>
      </c>
      <c r="I5">
        <v>28</v>
      </c>
      <c r="J5" t="s">
        <v>126</v>
      </c>
      <c r="K5" t="s">
        <v>122</v>
      </c>
      <c r="L5" t="s">
        <v>125</v>
      </c>
      <c r="N5" t="s">
        <v>108</v>
      </c>
      <c r="O5" t="s">
        <v>109</v>
      </c>
      <c r="P5">
        <v>3</v>
      </c>
      <c r="Q5" s="12" t="s">
        <v>110</v>
      </c>
      <c r="R5" s="11" t="s">
        <v>111</v>
      </c>
    </row>
    <row r="6" spans="1:19" ht="57.6">
      <c r="A6">
        <v>5</v>
      </c>
      <c r="B6" s="1" t="s">
        <v>113</v>
      </c>
      <c r="C6">
        <v>2024</v>
      </c>
      <c r="D6" s="1" t="s">
        <v>112</v>
      </c>
      <c r="E6" t="s">
        <v>135</v>
      </c>
      <c r="F6" s="1" t="s">
        <v>133</v>
      </c>
      <c r="G6">
        <v>51</v>
      </c>
      <c r="H6">
        <v>18</v>
      </c>
      <c r="I6">
        <v>33</v>
      </c>
      <c r="J6" s="13" t="s">
        <v>128</v>
      </c>
      <c r="K6" t="s">
        <v>117</v>
      </c>
      <c r="L6" t="s">
        <v>116</v>
      </c>
      <c r="N6" t="s">
        <v>134</v>
      </c>
      <c r="O6" t="s">
        <v>136</v>
      </c>
      <c r="P6" s="1">
        <v>3</v>
      </c>
      <c r="Q6" s="12" t="s">
        <v>115</v>
      </c>
      <c r="R6" s="11" t="s">
        <v>114</v>
      </c>
      <c r="S6" s="1"/>
    </row>
    <row r="7" spans="1:19">
      <c r="D7" s="1"/>
      <c r="E7" s="1"/>
      <c r="G7" s="1"/>
      <c r="H7" s="1"/>
      <c r="I7" s="1"/>
      <c r="S7" s="1"/>
    </row>
    <row r="8" spans="1:19">
      <c r="D8" s="1"/>
      <c r="E8" s="1"/>
      <c r="G8" s="1"/>
      <c r="H8" s="1"/>
      <c r="I8" s="1"/>
      <c r="S8" s="1"/>
    </row>
    <row r="11" spans="1:19" ht="82.5" customHeight="1"/>
  </sheetData>
  <hyperlinks>
    <hyperlink ref="R2" r:id="rId1" xr:uid="{F307A5B7-186F-4624-80A3-54E8DFBFB6D0}"/>
    <hyperlink ref="Q2" r:id="rId2" xr:uid="{ECB5A3CA-71AA-429E-AE8B-FC866B4DBE03}"/>
    <hyperlink ref="Q3" r:id="rId3" xr:uid="{EBD71AC2-C4DD-46AC-B00B-166427480014}"/>
    <hyperlink ref="R4" r:id="rId4" xr:uid="{75C91AE3-1F22-40E3-BBBD-E8CDBD56D498}"/>
    <hyperlink ref="Q4" r:id="rId5" xr:uid="{5F3508AA-F1AA-470F-914C-42B32A5FD884}"/>
    <hyperlink ref="Q5" r:id="rId6" xr:uid="{62A625B7-C3A0-4B20-90D7-ED2F76F4088A}"/>
    <hyperlink ref="R5" r:id="rId7" xr:uid="{4BCB748A-1E5D-4370-8850-6D84A19A182D}"/>
    <hyperlink ref="Q6" r:id="rId8" location="refdata001" xr:uid="{0908479C-E69E-42CF-9C79-7C4C12278427}"/>
    <hyperlink ref="R6" r:id="rId9" xr:uid="{F31C4ED8-A6AD-4FE3-979E-D83CF4B6DFF1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F7DDF-461B-4D0B-BBA8-A327F5C71FB4}">
  <dimension ref="B2:R9"/>
  <sheetViews>
    <sheetView workbookViewId="0">
      <selection activeCell="R2" sqref="R2"/>
    </sheetView>
  </sheetViews>
  <sheetFormatPr defaultRowHeight="14.4"/>
  <cols>
    <col min="2" max="2" width="17.88671875" customWidth="1"/>
    <col min="4" max="4" width="26.33203125" customWidth="1"/>
    <col min="5" max="5" width="21.88671875" customWidth="1"/>
    <col min="6" max="6" width="26.77734375" customWidth="1"/>
    <col min="15" max="15" width="18" customWidth="1"/>
    <col min="18" max="18" width="35.77734375" customWidth="1"/>
  </cols>
  <sheetData>
    <row r="2" spans="2:18" ht="72">
      <c r="B2" s="1" t="s">
        <v>33</v>
      </c>
      <c r="C2">
        <v>2025</v>
      </c>
      <c r="D2" s="1" t="s">
        <v>34</v>
      </c>
      <c r="E2" s="1" t="s">
        <v>35</v>
      </c>
      <c r="F2" s="1" t="s">
        <v>36</v>
      </c>
      <c r="G2" s="1">
        <v>30</v>
      </c>
      <c r="H2" s="1">
        <v>10</v>
      </c>
      <c r="I2" s="1">
        <v>20</v>
      </c>
      <c r="Q2" s="1"/>
      <c r="R2" t="s">
        <v>37</v>
      </c>
    </row>
    <row r="3" spans="2:18" ht="57.6">
      <c r="B3" s="1" t="s">
        <v>38</v>
      </c>
      <c r="C3">
        <v>2026</v>
      </c>
      <c r="D3" s="1" t="s">
        <v>39</v>
      </c>
      <c r="E3" s="1" t="s">
        <v>40</v>
      </c>
      <c r="F3" s="1" t="s">
        <v>41</v>
      </c>
      <c r="G3" s="1">
        <v>13</v>
      </c>
      <c r="H3" s="1">
        <v>5</v>
      </c>
      <c r="I3" s="1">
        <v>8</v>
      </c>
      <c r="Q3" s="1"/>
      <c r="R3" s="1" t="s">
        <v>42</v>
      </c>
    </row>
    <row r="4" spans="2:18" ht="72">
      <c r="B4" s="1" t="s">
        <v>43</v>
      </c>
      <c r="C4">
        <v>2024</v>
      </c>
      <c r="D4" s="1" t="s">
        <v>44</v>
      </c>
      <c r="E4" t="s">
        <v>45</v>
      </c>
      <c r="F4" s="1" t="s">
        <v>46</v>
      </c>
      <c r="G4" s="1">
        <v>30</v>
      </c>
      <c r="H4" s="1">
        <v>14</v>
      </c>
      <c r="I4" s="1">
        <v>16</v>
      </c>
      <c r="J4" t="s">
        <v>47</v>
      </c>
      <c r="K4" s="1" t="s">
        <v>48</v>
      </c>
      <c r="L4" s="5" t="s">
        <v>49</v>
      </c>
      <c r="Q4" s="1"/>
      <c r="R4" s="1" t="s">
        <v>50</v>
      </c>
    </row>
    <row r="5" spans="2:18" ht="61.2">
      <c r="B5" s="1" t="s">
        <v>51</v>
      </c>
      <c r="C5">
        <v>2023</v>
      </c>
      <c r="D5" s="1" t="s">
        <v>52</v>
      </c>
      <c r="E5" t="s">
        <v>16</v>
      </c>
      <c r="F5" s="1" t="s">
        <v>53</v>
      </c>
      <c r="G5" s="1">
        <v>10</v>
      </c>
      <c r="H5" s="1">
        <v>4</v>
      </c>
      <c r="I5" s="1">
        <v>6</v>
      </c>
      <c r="J5" s="1" t="s">
        <v>54</v>
      </c>
      <c r="K5" s="6" t="s">
        <v>55</v>
      </c>
      <c r="L5" s="6" t="s">
        <v>56</v>
      </c>
      <c r="O5" s="1" t="s">
        <v>57</v>
      </c>
      <c r="Q5" s="1"/>
      <c r="R5" s="4" t="s">
        <v>58</v>
      </c>
    </row>
    <row r="6" spans="2:18" ht="57.6">
      <c r="B6" s="1" t="s">
        <v>59</v>
      </c>
      <c r="C6">
        <v>2023</v>
      </c>
      <c r="D6" s="1" t="s">
        <v>60</v>
      </c>
      <c r="E6" s="1" t="s">
        <v>16</v>
      </c>
      <c r="F6" s="1" t="s">
        <v>41</v>
      </c>
      <c r="G6" s="1">
        <v>7</v>
      </c>
      <c r="H6" s="1">
        <v>4</v>
      </c>
      <c r="I6" s="1">
        <v>3</v>
      </c>
      <c r="J6" t="s">
        <v>61</v>
      </c>
      <c r="K6" t="s">
        <v>62</v>
      </c>
      <c r="L6" t="s">
        <v>63</v>
      </c>
      <c r="O6" s="1">
        <v>96</v>
      </c>
      <c r="Q6" s="1" t="s">
        <v>64</v>
      </c>
      <c r="R6" s="1" t="s">
        <v>65</v>
      </c>
    </row>
    <row r="7" spans="2:18">
      <c r="B7" s="1"/>
      <c r="F7" s="1"/>
      <c r="Q7" s="1"/>
    </row>
    <row r="8" spans="2:18">
      <c r="B8" s="1"/>
      <c r="F8" s="1"/>
      <c r="Q8" s="1"/>
    </row>
    <row r="9" spans="2:18">
      <c r="B9" s="1"/>
      <c r="F9" s="1"/>
      <c r="Q9" s="1"/>
    </row>
  </sheetData>
  <hyperlinks>
    <hyperlink ref="R6" r:id="rId1" xr:uid="{00000000-0004-0000-0000-000007000000}"/>
    <hyperlink ref="Q6" r:id="rId2" xr:uid="{00000000-0004-0000-0000-000006000000}"/>
    <hyperlink ref="R5" r:id="rId3" xr:uid="{00000000-0004-0000-0000-000005000000}"/>
    <hyperlink ref="R4" r:id="rId4" xr:uid="{00000000-0004-0000-0000-000004000000}"/>
    <hyperlink ref="R3" r:id="rId5" location="Bib1" xr:uid="{00000000-0004-0000-0000-000003000000}"/>
    <hyperlink ref="R2" r:id="rId6" xr:uid="{00000000-0004-0000-0000-000002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132" zoomScaleNormal="132" workbookViewId="0">
      <selection activeCell="I12" sqref="I12"/>
    </sheetView>
  </sheetViews>
  <sheetFormatPr defaultColWidth="8.88671875" defaultRowHeight="14.4"/>
  <cols>
    <col min="1" max="1" width="10.109375" customWidth="1"/>
    <col min="2" max="2" width="10.886718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27.109375" customWidth="1"/>
    <col min="10" max="10" width="16.8867187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66</v>
      </c>
      <c r="B1" t="s">
        <v>67</v>
      </c>
      <c r="C1" t="s">
        <v>68</v>
      </c>
      <c r="D1" t="s">
        <v>69</v>
      </c>
      <c r="E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P1" t="s">
        <v>77</v>
      </c>
    </row>
    <row r="2" spans="1:16">
      <c r="A2">
        <v>1</v>
      </c>
      <c r="B2">
        <v>31</v>
      </c>
      <c r="C2" s="7" t="s">
        <v>78</v>
      </c>
      <c r="D2">
        <v>67</v>
      </c>
      <c r="E2">
        <v>1.66</v>
      </c>
      <c r="G2">
        <v>1</v>
      </c>
      <c r="H2">
        <v>15</v>
      </c>
      <c r="I2" t="s">
        <v>79</v>
      </c>
      <c r="L2">
        <v>8</v>
      </c>
      <c r="P2">
        <v>10</v>
      </c>
    </row>
    <row r="3" spans="1:16">
      <c r="A3">
        <v>2</v>
      </c>
      <c r="B3">
        <v>48</v>
      </c>
      <c r="C3" s="7" t="s">
        <v>80</v>
      </c>
      <c r="D3">
        <v>65.400000000000006</v>
      </c>
      <c r="E3">
        <v>1.64</v>
      </c>
      <c r="G3">
        <v>1</v>
      </c>
      <c r="H3">
        <v>11</v>
      </c>
      <c r="I3" t="s">
        <v>79</v>
      </c>
      <c r="L3">
        <v>4</v>
      </c>
      <c r="P3">
        <v>9</v>
      </c>
    </row>
    <row r="4" spans="1:16">
      <c r="A4">
        <v>3</v>
      </c>
      <c r="B4">
        <v>28</v>
      </c>
      <c r="C4" s="7" t="s">
        <v>80</v>
      </c>
      <c r="D4">
        <v>50</v>
      </c>
      <c r="E4">
        <v>1.56</v>
      </c>
      <c r="G4">
        <v>1</v>
      </c>
      <c r="H4">
        <v>13</v>
      </c>
      <c r="I4" t="s">
        <v>79</v>
      </c>
      <c r="L4">
        <v>1</v>
      </c>
      <c r="P4">
        <v>9</v>
      </c>
    </row>
    <row r="5" spans="1:16">
      <c r="A5">
        <v>4</v>
      </c>
      <c r="B5">
        <v>23</v>
      </c>
      <c r="C5" s="7" t="s">
        <v>78</v>
      </c>
      <c r="D5">
        <v>72.5</v>
      </c>
      <c r="E5">
        <v>1.77</v>
      </c>
      <c r="G5">
        <v>1</v>
      </c>
      <c r="H5">
        <v>14</v>
      </c>
      <c r="I5" t="s">
        <v>79</v>
      </c>
      <c r="L5">
        <v>6</v>
      </c>
      <c r="P5">
        <v>9</v>
      </c>
    </row>
    <row r="6" spans="1:16">
      <c r="A6">
        <v>5</v>
      </c>
      <c r="B6">
        <v>25</v>
      </c>
      <c r="C6" s="7" t="s">
        <v>78</v>
      </c>
      <c r="D6">
        <v>73.5</v>
      </c>
      <c r="E6">
        <v>1.83</v>
      </c>
      <c r="G6">
        <v>0</v>
      </c>
      <c r="H6">
        <v>15</v>
      </c>
      <c r="I6" t="s">
        <v>79</v>
      </c>
      <c r="L6">
        <v>6</v>
      </c>
      <c r="P6">
        <v>10</v>
      </c>
    </row>
    <row r="7" spans="1:16">
      <c r="A7">
        <v>6</v>
      </c>
      <c r="B7">
        <v>23</v>
      </c>
      <c r="C7" s="7" t="s">
        <v>78</v>
      </c>
      <c r="D7">
        <v>73</v>
      </c>
      <c r="E7">
        <v>1.76</v>
      </c>
      <c r="G7">
        <v>1</v>
      </c>
      <c r="H7">
        <v>13</v>
      </c>
      <c r="I7" t="s">
        <v>79</v>
      </c>
      <c r="L7">
        <v>8</v>
      </c>
      <c r="P7">
        <v>9</v>
      </c>
    </row>
    <row r="8" spans="1:16">
      <c r="A8">
        <v>7</v>
      </c>
      <c r="B8">
        <v>44</v>
      </c>
      <c r="C8" s="7" t="s">
        <v>80</v>
      </c>
      <c r="D8">
        <v>65</v>
      </c>
      <c r="E8">
        <v>1.69</v>
      </c>
      <c r="G8">
        <v>1</v>
      </c>
      <c r="H8">
        <v>14</v>
      </c>
      <c r="I8" t="s">
        <v>79</v>
      </c>
      <c r="L8">
        <v>4</v>
      </c>
      <c r="P8">
        <v>9</v>
      </c>
    </row>
    <row r="9" spans="1:16">
      <c r="A9">
        <v>8</v>
      </c>
      <c r="B9">
        <v>30</v>
      </c>
      <c r="C9" s="7" t="s">
        <v>80</v>
      </c>
      <c r="D9">
        <v>57.1</v>
      </c>
      <c r="E9">
        <v>1.66</v>
      </c>
      <c r="G9">
        <v>0</v>
      </c>
      <c r="H9">
        <v>15</v>
      </c>
      <c r="I9" t="s">
        <v>79</v>
      </c>
      <c r="L9">
        <v>9</v>
      </c>
      <c r="P9">
        <v>10</v>
      </c>
    </row>
    <row r="10" spans="1:16">
      <c r="A10">
        <v>9</v>
      </c>
      <c r="B10">
        <v>57</v>
      </c>
      <c r="C10" s="7" t="s">
        <v>78</v>
      </c>
      <c r="D10">
        <v>86</v>
      </c>
      <c r="E10">
        <v>1.88</v>
      </c>
      <c r="G10">
        <v>0</v>
      </c>
      <c r="H10">
        <v>15</v>
      </c>
      <c r="I10" t="s">
        <v>79</v>
      </c>
      <c r="L10">
        <v>9</v>
      </c>
      <c r="P10">
        <v>10</v>
      </c>
    </row>
    <row r="11" spans="1:16">
      <c r="A11">
        <v>10</v>
      </c>
      <c r="B11">
        <v>59</v>
      </c>
      <c r="C11" s="7" t="s">
        <v>78</v>
      </c>
      <c r="D11">
        <v>63.4</v>
      </c>
      <c r="E11">
        <v>1.8</v>
      </c>
      <c r="G11">
        <v>1</v>
      </c>
      <c r="H11">
        <v>13</v>
      </c>
      <c r="I11" t="s">
        <v>79</v>
      </c>
      <c r="L11">
        <v>4</v>
      </c>
      <c r="P11">
        <v>9</v>
      </c>
    </row>
    <row r="12" spans="1:16">
      <c r="A12">
        <v>11</v>
      </c>
      <c r="B12">
        <v>26</v>
      </c>
      <c r="C12" s="7" t="s">
        <v>80</v>
      </c>
      <c r="D12">
        <v>61.3</v>
      </c>
      <c r="E12">
        <v>1.7</v>
      </c>
      <c r="G12">
        <v>1</v>
      </c>
      <c r="H12">
        <v>13</v>
      </c>
      <c r="I12">
        <v>6</v>
      </c>
      <c r="L12">
        <f t="array" ref="L12:L21">P12:P21-I12:I21</f>
        <v>16</v>
      </c>
      <c r="P12">
        <v>22</v>
      </c>
    </row>
    <row r="13" spans="1:16">
      <c r="A13">
        <v>12</v>
      </c>
      <c r="B13">
        <v>29</v>
      </c>
      <c r="C13" s="7" t="s">
        <v>78</v>
      </c>
      <c r="D13">
        <v>92</v>
      </c>
      <c r="E13">
        <v>1.8</v>
      </c>
      <c r="G13">
        <v>1</v>
      </c>
      <c r="H13">
        <v>14</v>
      </c>
      <c r="I13">
        <v>9</v>
      </c>
      <c r="L13">
        <v>14</v>
      </c>
      <c r="P13">
        <v>23</v>
      </c>
    </row>
    <row r="14" spans="1:16">
      <c r="A14">
        <v>13</v>
      </c>
      <c r="B14">
        <v>22</v>
      </c>
      <c r="C14" s="7" t="s">
        <v>80</v>
      </c>
      <c r="D14">
        <v>67</v>
      </c>
      <c r="E14">
        <v>1.58</v>
      </c>
      <c r="G14">
        <v>0</v>
      </c>
      <c r="H14">
        <v>15</v>
      </c>
      <c r="I14">
        <v>7</v>
      </c>
      <c r="L14">
        <v>18</v>
      </c>
      <c r="P14">
        <v>25</v>
      </c>
    </row>
    <row r="15" spans="1:16">
      <c r="A15">
        <v>14</v>
      </c>
      <c r="B15">
        <v>26</v>
      </c>
      <c r="C15" s="7" t="s">
        <v>80</v>
      </c>
      <c r="D15">
        <v>73.8</v>
      </c>
      <c r="E15">
        <v>1.76</v>
      </c>
      <c r="G15">
        <v>1</v>
      </c>
      <c r="H15">
        <v>12</v>
      </c>
      <c r="I15">
        <v>10</v>
      </c>
      <c r="L15">
        <v>10</v>
      </c>
      <c r="P15">
        <v>20</v>
      </c>
    </row>
    <row r="16" spans="1:16">
      <c r="A16">
        <v>15</v>
      </c>
      <c r="B16">
        <v>48</v>
      </c>
      <c r="C16" s="7" t="s">
        <v>80</v>
      </c>
      <c r="D16">
        <v>59.8</v>
      </c>
      <c r="E16">
        <v>1.71</v>
      </c>
      <c r="G16">
        <v>1</v>
      </c>
      <c r="H16">
        <v>15</v>
      </c>
      <c r="I16">
        <v>9</v>
      </c>
      <c r="L16">
        <v>16</v>
      </c>
      <c r="P16">
        <v>25</v>
      </c>
    </row>
    <row r="17" spans="1:16">
      <c r="A17">
        <v>16</v>
      </c>
      <c r="B17">
        <v>33</v>
      </c>
      <c r="C17" s="7" t="s">
        <v>78</v>
      </c>
      <c r="D17">
        <v>87.5</v>
      </c>
      <c r="E17">
        <v>1.92</v>
      </c>
      <c r="G17">
        <v>1</v>
      </c>
      <c r="H17">
        <v>14</v>
      </c>
      <c r="I17">
        <v>12</v>
      </c>
      <c r="L17">
        <v>10</v>
      </c>
      <c r="P17">
        <v>22</v>
      </c>
    </row>
    <row r="18" spans="1:16">
      <c r="A18">
        <v>17</v>
      </c>
      <c r="B18">
        <v>31</v>
      </c>
      <c r="C18" s="7" t="s">
        <v>80</v>
      </c>
      <c r="D18">
        <v>80.5</v>
      </c>
      <c r="E18">
        <v>1.66</v>
      </c>
      <c r="G18">
        <v>1</v>
      </c>
      <c r="H18">
        <v>15</v>
      </c>
      <c r="I18">
        <v>9</v>
      </c>
      <c r="L18">
        <v>16</v>
      </c>
      <c r="P18">
        <v>25</v>
      </c>
    </row>
    <row r="19" spans="1:16">
      <c r="A19">
        <v>18</v>
      </c>
      <c r="B19">
        <v>38</v>
      </c>
      <c r="C19" s="7" t="s">
        <v>78</v>
      </c>
      <c r="D19">
        <v>89.9</v>
      </c>
      <c r="E19">
        <v>1.89</v>
      </c>
      <c r="G19">
        <v>1</v>
      </c>
      <c r="H19">
        <v>15</v>
      </c>
      <c r="I19">
        <v>11</v>
      </c>
      <c r="L19">
        <v>12</v>
      </c>
      <c r="P19">
        <v>23</v>
      </c>
    </row>
    <row r="20" spans="1:16">
      <c r="A20">
        <v>19</v>
      </c>
      <c r="B20">
        <v>62</v>
      </c>
      <c r="C20" s="7" t="s">
        <v>80</v>
      </c>
      <c r="D20">
        <v>60.7</v>
      </c>
      <c r="E20">
        <v>1.7</v>
      </c>
      <c r="G20">
        <v>1</v>
      </c>
      <c r="H20">
        <v>15</v>
      </c>
      <c r="I20">
        <v>8</v>
      </c>
      <c r="L20">
        <v>17</v>
      </c>
      <c r="P20">
        <v>25</v>
      </c>
    </row>
    <row r="21" spans="1:16">
      <c r="A21">
        <v>20</v>
      </c>
      <c r="B21">
        <v>21</v>
      </c>
      <c r="C21" s="7" t="s">
        <v>78</v>
      </c>
      <c r="D21">
        <v>67.2</v>
      </c>
      <c r="E21">
        <v>1.77</v>
      </c>
      <c r="G21">
        <v>1</v>
      </c>
      <c r="H21">
        <v>13</v>
      </c>
      <c r="I21">
        <v>10</v>
      </c>
      <c r="L21">
        <v>13</v>
      </c>
      <c r="P21">
        <v>23</v>
      </c>
    </row>
    <row r="22" spans="1:16">
      <c r="A22">
        <v>21</v>
      </c>
      <c r="B22">
        <v>24</v>
      </c>
      <c r="C22" s="7" t="s">
        <v>80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78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80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80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80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78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80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78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78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80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78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78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80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78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80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80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80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80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80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78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80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80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78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78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78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78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78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78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78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78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E7" sqref="E7"/>
    </sheetView>
  </sheetViews>
  <sheetFormatPr defaultColWidth="8.88671875" defaultRowHeight="14.4"/>
  <cols>
    <col min="8" max="8" width="10.44140625" customWidth="1"/>
    <col min="9" max="9" width="30.6640625" customWidth="1"/>
    <col min="10" max="10" width="33.1093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66</v>
      </c>
      <c r="B1" t="s">
        <v>67</v>
      </c>
      <c r="C1" t="s">
        <v>68</v>
      </c>
      <c r="D1" t="s">
        <v>69</v>
      </c>
      <c r="E1" t="s">
        <v>70</v>
      </c>
      <c r="G1" t="s">
        <v>71</v>
      </c>
      <c r="H1" t="s">
        <v>81</v>
      </c>
      <c r="I1" t="s">
        <v>73</v>
      </c>
      <c r="J1" t="s">
        <v>74</v>
      </c>
      <c r="K1" t="s">
        <v>75</v>
      </c>
      <c r="L1" t="s">
        <v>76</v>
      </c>
    </row>
    <row r="2" spans="1:12">
      <c r="A2">
        <v>1</v>
      </c>
      <c r="B2">
        <v>24</v>
      </c>
      <c r="C2" t="s">
        <v>78</v>
      </c>
      <c r="D2">
        <v>74</v>
      </c>
      <c r="E2">
        <v>1.75</v>
      </c>
      <c r="G2">
        <v>1</v>
      </c>
      <c r="H2">
        <v>21</v>
      </c>
      <c r="J2" t="s">
        <v>82</v>
      </c>
      <c r="L2">
        <v>17</v>
      </c>
    </row>
    <row r="3" spans="1:12">
      <c r="A3">
        <v>2</v>
      </c>
      <c r="B3">
        <v>24</v>
      </c>
      <c r="C3" t="s">
        <v>78</v>
      </c>
      <c r="D3">
        <v>72</v>
      </c>
      <c r="E3">
        <v>1.72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78</v>
      </c>
      <c r="D4">
        <v>80</v>
      </c>
      <c r="E4">
        <v>1.78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78</v>
      </c>
      <c r="D5">
        <v>60</v>
      </c>
      <c r="E5">
        <v>1.7</v>
      </c>
      <c r="G5">
        <v>1</v>
      </c>
      <c r="H5">
        <v>17</v>
      </c>
      <c r="J5" t="s">
        <v>83</v>
      </c>
    </row>
    <row r="6" spans="1:12">
      <c r="A6">
        <v>5</v>
      </c>
      <c r="B6">
        <v>21</v>
      </c>
      <c r="C6" t="s">
        <v>78</v>
      </c>
      <c r="D6">
        <v>71</v>
      </c>
      <c r="E6">
        <v>1.71</v>
      </c>
      <c r="G6">
        <v>1</v>
      </c>
      <c r="H6">
        <v>25</v>
      </c>
    </row>
    <row r="7" spans="1:12">
      <c r="A7">
        <v>6</v>
      </c>
      <c r="B7">
        <v>20</v>
      </c>
      <c r="C7" t="s">
        <v>78</v>
      </c>
      <c r="D7">
        <v>65</v>
      </c>
      <c r="E7">
        <v>1.68</v>
      </c>
      <c r="G7">
        <v>1</v>
      </c>
      <c r="H7">
        <v>24</v>
      </c>
    </row>
    <row r="8" spans="1:12">
      <c r="A8">
        <v>7</v>
      </c>
      <c r="B8">
        <v>25</v>
      </c>
      <c r="C8" t="s">
        <v>78</v>
      </c>
      <c r="D8">
        <v>72</v>
      </c>
      <c r="E8">
        <v>1.76</v>
      </c>
      <c r="G8">
        <v>1</v>
      </c>
      <c r="H8">
        <v>19</v>
      </c>
    </row>
    <row r="9" spans="1:12">
      <c r="A9">
        <v>8</v>
      </c>
      <c r="B9">
        <v>23</v>
      </c>
      <c r="C9" t="s">
        <v>78</v>
      </c>
      <c r="D9">
        <v>85</v>
      </c>
      <c r="E9">
        <v>1.81</v>
      </c>
      <c r="G9">
        <v>1</v>
      </c>
      <c r="H9">
        <v>21</v>
      </c>
    </row>
    <row r="10" spans="1:12">
      <c r="A10">
        <v>9</v>
      </c>
      <c r="B10">
        <v>24</v>
      </c>
      <c r="C10" t="s">
        <v>78</v>
      </c>
      <c r="D10">
        <v>76</v>
      </c>
      <c r="E10">
        <v>1.83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78</v>
      </c>
      <c r="D11">
        <v>80</v>
      </c>
      <c r="E11">
        <v>1.82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78</v>
      </c>
      <c r="D12">
        <v>75</v>
      </c>
      <c r="E12">
        <v>1.75</v>
      </c>
      <c r="G12">
        <v>1</v>
      </c>
      <c r="H12">
        <v>27</v>
      </c>
      <c r="J12" t="s">
        <v>84</v>
      </c>
    </row>
    <row r="13" spans="1:12">
      <c r="A13">
        <v>12</v>
      </c>
      <c r="B13">
        <v>24</v>
      </c>
      <c r="C13" t="s">
        <v>78</v>
      </c>
      <c r="D13">
        <v>80</v>
      </c>
      <c r="E13">
        <v>1.77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78</v>
      </c>
      <c r="D14">
        <v>58</v>
      </c>
      <c r="E14">
        <v>1.7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/>
  </sheetViews>
  <sheetFormatPr defaultColWidth="8.6640625" defaultRowHeight="14.4"/>
  <cols>
    <col min="7" max="7" width="8.88671875" customWidth="1"/>
  </cols>
  <sheetData>
    <row r="1" spans="1:16">
      <c r="A1" t="s">
        <v>66</v>
      </c>
      <c r="B1" t="s">
        <v>67</v>
      </c>
      <c r="C1" t="s">
        <v>68</v>
      </c>
      <c r="D1" t="s">
        <v>69</v>
      </c>
      <c r="E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P1" t="s">
        <v>77</v>
      </c>
    </row>
    <row r="2" spans="1:16">
      <c r="A2">
        <v>1</v>
      </c>
      <c r="B2">
        <v>44</v>
      </c>
      <c r="C2" t="s">
        <v>80</v>
      </c>
      <c r="D2">
        <v>57.5</v>
      </c>
      <c r="E2">
        <v>1.69</v>
      </c>
    </row>
    <row r="3" spans="1:16">
      <c r="A3">
        <v>2</v>
      </c>
      <c r="B3">
        <v>24</v>
      </c>
      <c r="C3" t="s">
        <v>80</v>
      </c>
      <c r="D3">
        <v>66.5</v>
      </c>
      <c r="E3">
        <v>1.67</v>
      </c>
    </row>
    <row r="4" spans="1:16">
      <c r="A4">
        <v>3</v>
      </c>
      <c r="B4">
        <v>42</v>
      </c>
      <c r="C4" t="s">
        <v>78</v>
      </c>
      <c r="D4">
        <v>108.7</v>
      </c>
      <c r="E4">
        <v>1.76</v>
      </c>
    </row>
    <row r="5" spans="1:16">
      <c r="A5">
        <v>4</v>
      </c>
      <c r="B5">
        <v>47</v>
      </c>
      <c r="C5" t="s">
        <v>80</v>
      </c>
      <c r="D5">
        <v>62.8</v>
      </c>
      <c r="E5">
        <v>1.67</v>
      </c>
    </row>
    <row r="6" spans="1:16">
      <c r="A6">
        <v>5</v>
      </c>
      <c r="B6">
        <v>29</v>
      </c>
      <c r="C6" t="s">
        <v>78</v>
      </c>
      <c r="D6">
        <v>61</v>
      </c>
      <c r="E6">
        <v>1.67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78</v>
      </c>
      <c r="D7">
        <v>71.8</v>
      </c>
      <c r="E7">
        <v>1.74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78</v>
      </c>
      <c r="D8">
        <v>100.5</v>
      </c>
      <c r="E8">
        <v>1.82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80</v>
      </c>
      <c r="D9">
        <v>60.7</v>
      </c>
      <c r="E9">
        <v>1.65</v>
      </c>
      <c r="G9">
        <v>2</v>
      </c>
      <c r="H9">
        <v>10</v>
      </c>
      <c r="L9">
        <v>10</v>
      </c>
    </row>
    <row r="10" spans="1:16">
      <c r="A10">
        <v>9</v>
      </c>
      <c r="B10">
        <v>24</v>
      </c>
      <c r="C10" t="s">
        <v>80</v>
      </c>
      <c r="D10">
        <v>71</v>
      </c>
      <c r="E10">
        <v>1.67</v>
      </c>
    </row>
    <row r="11" spans="1:16">
      <c r="A11">
        <v>10</v>
      </c>
      <c r="B11">
        <v>37</v>
      </c>
      <c r="C11" t="s">
        <v>80</v>
      </c>
      <c r="D11">
        <v>67.5</v>
      </c>
      <c r="E11">
        <v>1.62</v>
      </c>
    </row>
    <row r="12" spans="1:16">
      <c r="A12">
        <v>11</v>
      </c>
      <c r="B12">
        <v>41</v>
      </c>
      <c r="C12" t="s">
        <v>78</v>
      </c>
      <c r="D12">
        <v>94</v>
      </c>
      <c r="E12">
        <v>1.86</v>
      </c>
    </row>
    <row r="13" spans="1:16">
      <c r="A13">
        <v>12</v>
      </c>
      <c r="B13">
        <v>32</v>
      </c>
      <c r="C13" t="s">
        <v>80</v>
      </c>
      <c r="D13">
        <v>54</v>
      </c>
      <c r="E13">
        <v>1.66</v>
      </c>
    </row>
    <row r="14" spans="1:16">
      <c r="A14">
        <v>13</v>
      </c>
      <c r="B14">
        <v>56</v>
      </c>
      <c r="C14" t="s">
        <v>80</v>
      </c>
      <c r="D14">
        <v>67.900000000000006</v>
      </c>
      <c r="E14">
        <v>1.66</v>
      </c>
      <c r="L14">
        <v>11</v>
      </c>
    </row>
    <row r="15" spans="1:16">
      <c r="A15">
        <v>14</v>
      </c>
      <c r="B15">
        <v>38</v>
      </c>
      <c r="C15" t="s">
        <v>78</v>
      </c>
      <c r="D15">
        <v>98</v>
      </c>
      <c r="E15">
        <v>1.78</v>
      </c>
      <c r="L15">
        <v>14</v>
      </c>
    </row>
    <row r="16" spans="1:16">
      <c r="A16">
        <v>15</v>
      </c>
      <c r="B16">
        <v>21</v>
      </c>
      <c r="C16" t="s">
        <v>80</v>
      </c>
      <c r="D16">
        <v>61.9</v>
      </c>
      <c r="E16">
        <v>1.58</v>
      </c>
      <c r="L16">
        <v>13</v>
      </c>
    </row>
    <row r="17" spans="1:12">
      <c r="A17">
        <v>16</v>
      </c>
      <c r="B17">
        <v>35</v>
      </c>
      <c r="C17" t="s">
        <v>78</v>
      </c>
      <c r="D17">
        <v>64.7</v>
      </c>
      <c r="E17">
        <v>1.7</v>
      </c>
      <c r="L17">
        <v>10</v>
      </c>
    </row>
    <row r="18" spans="1:12">
      <c r="A18">
        <v>17</v>
      </c>
      <c r="B18">
        <v>46</v>
      </c>
      <c r="C18" t="s">
        <v>78</v>
      </c>
      <c r="D18">
        <v>85.5</v>
      </c>
      <c r="E18">
        <v>1.72</v>
      </c>
    </row>
    <row r="19" spans="1:12">
      <c r="A19">
        <v>18</v>
      </c>
      <c r="B19">
        <v>34</v>
      </c>
      <c r="C19" t="s">
        <v>80</v>
      </c>
      <c r="D19">
        <v>67</v>
      </c>
      <c r="E19">
        <v>1.69</v>
      </c>
    </row>
    <row r="20" spans="1:12">
      <c r="A20">
        <v>19</v>
      </c>
      <c r="B20">
        <v>41</v>
      </c>
      <c r="C20" t="s">
        <v>78</v>
      </c>
      <c r="D20">
        <v>74.599999999999994</v>
      </c>
      <c r="E20">
        <v>1.73</v>
      </c>
    </row>
    <row r="21" spans="1:12">
      <c r="A21">
        <v>20</v>
      </c>
      <c r="B21">
        <v>30</v>
      </c>
      <c r="C21" t="s">
        <v>80</v>
      </c>
      <c r="D21">
        <v>82.1</v>
      </c>
      <c r="E21">
        <v>1.72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8"/>
  <sheetViews>
    <sheetView zoomScale="120" zoomScaleNormal="120" workbookViewId="0">
      <pane ySplit="1" topLeftCell="A18" activePane="bottomLeft" state="frozen"/>
      <selection pane="bottomLeft" activeCell="K35" sqref="K35"/>
    </sheetView>
  </sheetViews>
  <sheetFormatPr defaultColWidth="8.88671875" defaultRowHeight="14.4"/>
  <cols>
    <col min="6" max="6" width="0.88671875" customWidth="1"/>
    <col min="7" max="7" width="6.6640625" customWidth="1"/>
    <col min="8" max="8" width="14" customWidth="1"/>
    <col min="9" max="9" width="30.88671875" customWidth="1"/>
    <col min="10" max="10" width="48.44140625" customWidth="1"/>
  </cols>
  <sheetData>
    <row r="1" spans="1:16">
      <c r="A1" t="s">
        <v>66</v>
      </c>
      <c r="B1" t="s">
        <v>67</v>
      </c>
      <c r="C1" t="s">
        <v>68</v>
      </c>
      <c r="D1" t="s">
        <v>69</v>
      </c>
      <c r="E1" t="s">
        <v>70</v>
      </c>
      <c r="G1" t="s">
        <v>71</v>
      </c>
      <c r="H1" t="s">
        <v>85</v>
      </c>
      <c r="I1" t="s">
        <v>73</v>
      </c>
      <c r="J1" t="s">
        <v>74</v>
      </c>
      <c r="K1" t="s">
        <v>75</v>
      </c>
      <c r="L1" t="s">
        <v>76</v>
      </c>
      <c r="P1" t="s">
        <v>77</v>
      </c>
    </row>
    <row r="2" spans="1:16">
      <c r="A2">
        <v>1</v>
      </c>
      <c r="B2">
        <v>28</v>
      </c>
      <c r="C2" t="s">
        <v>78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80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78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80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78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80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80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80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80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78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80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80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9">
        <v>25</v>
      </c>
      <c r="C14" s="9" t="s">
        <v>78</v>
      </c>
      <c r="D14" s="9">
        <v>79.95</v>
      </c>
      <c r="E14" s="9">
        <v>1.83</v>
      </c>
      <c r="F14" s="9"/>
      <c r="G14" s="9">
        <v>1</v>
      </c>
      <c r="H14" s="9">
        <v>22</v>
      </c>
      <c r="I14" s="9" t="s">
        <v>86</v>
      </c>
      <c r="K14">
        <v>4</v>
      </c>
      <c r="L14" s="9">
        <v>18</v>
      </c>
    </row>
    <row r="15" spans="1:16">
      <c r="A15">
        <v>14</v>
      </c>
      <c r="B15" s="9">
        <v>23</v>
      </c>
      <c r="C15" s="9" t="s">
        <v>80</v>
      </c>
      <c r="D15" s="9">
        <v>54.8</v>
      </c>
      <c r="E15" s="9">
        <v>1.64</v>
      </c>
      <c r="F15" s="9"/>
      <c r="G15" s="9">
        <v>1</v>
      </c>
      <c r="H15" s="9">
        <v>21</v>
      </c>
      <c r="I15" s="9"/>
      <c r="L15">
        <v>21</v>
      </c>
    </row>
    <row r="16" spans="1:16">
      <c r="A16">
        <v>15</v>
      </c>
      <c r="B16" s="9">
        <v>21</v>
      </c>
      <c r="C16" s="9" t="s">
        <v>78</v>
      </c>
      <c r="D16" s="9">
        <v>76.5</v>
      </c>
      <c r="E16" s="9">
        <v>1.82</v>
      </c>
      <c r="F16" s="9"/>
      <c r="G16" s="9">
        <v>1</v>
      </c>
      <c r="H16" s="9">
        <v>21</v>
      </c>
      <c r="I16" s="9"/>
      <c r="L16">
        <v>21</v>
      </c>
    </row>
    <row r="17" spans="1:12">
      <c r="A17">
        <v>16</v>
      </c>
      <c r="B17" s="9">
        <v>22</v>
      </c>
      <c r="C17" s="9" t="s">
        <v>78</v>
      </c>
      <c r="D17" s="9">
        <v>74.599999999999994</v>
      </c>
      <c r="E17" s="9">
        <v>1.82</v>
      </c>
      <c r="F17" s="9"/>
      <c r="G17" s="9">
        <v>1</v>
      </c>
      <c r="H17" s="9">
        <v>21</v>
      </c>
      <c r="I17" s="9" t="s">
        <v>87</v>
      </c>
      <c r="K17">
        <v>2</v>
      </c>
      <c r="L17" s="9">
        <v>19</v>
      </c>
    </row>
    <row r="18" spans="1:12">
      <c r="A18">
        <v>17</v>
      </c>
      <c r="B18" s="9">
        <v>20</v>
      </c>
      <c r="C18" s="9" t="s">
        <v>80</v>
      </c>
      <c r="D18" s="9">
        <v>56.45</v>
      </c>
      <c r="E18" s="9">
        <v>1.65</v>
      </c>
      <c r="F18" s="9"/>
      <c r="G18" s="9">
        <v>1</v>
      </c>
      <c r="H18" s="9">
        <v>20</v>
      </c>
      <c r="I18" s="9"/>
      <c r="L18">
        <v>20</v>
      </c>
    </row>
    <row r="19" spans="1:12">
      <c r="A19">
        <v>18</v>
      </c>
      <c r="B19" s="9">
        <v>22</v>
      </c>
      <c r="C19" s="9" t="s">
        <v>78</v>
      </c>
      <c r="D19" s="9">
        <v>78.3</v>
      </c>
      <c r="E19" s="9">
        <v>1.88</v>
      </c>
      <c r="F19" s="9"/>
      <c r="G19" s="9">
        <v>1</v>
      </c>
      <c r="H19" s="9">
        <v>21</v>
      </c>
      <c r="I19" s="9" t="s">
        <v>88</v>
      </c>
      <c r="K19">
        <v>21</v>
      </c>
      <c r="L19" s="9">
        <v>0</v>
      </c>
    </row>
    <row r="20" spans="1:12">
      <c r="A20">
        <v>19</v>
      </c>
      <c r="B20" s="9">
        <v>22</v>
      </c>
      <c r="C20" s="9" t="s">
        <v>78</v>
      </c>
      <c r="D20" s="9">
        <v>90.8</v>
      </c>
      <c r="E20" s="9">
        <v>1.92</v>
      </c>
      <c r="F20" s="9"/>
      <c r="G20" s="9">
        <v>1</v>
      </c>
      <c r="H20" s="9">
        <v>20</v>
      </c>
      <c r="I20" s="9"/>
      <c r="L20">
        <v>20</v>
      </c>
    </row>
    <row r="21" spans="1:12">
      <c r="A21">
        <v>20</v>
      </c>
      <c r="B21" s="9">
        <v>24</v>
      </c>
      <c r="C21" s="9" t="s">
        <v>78</v>
      </c>
      <c r="D21" s="9">
        <v>72.2</v>
      </c>
      <c r="E21" s="9">
        <v>1.86</v>
      </c>
      <c r="F21" s="9"/>
      <c r="G21" s="9">
        <v>1</v>
      </c>
      <c r="H21" s="9">
        <v>20</v>
      </c>
      <c r="I21" s="9"/>
      <c r="L21" s="9">
        <v>20</v>
      </c>
    </row>
    <row r="22" spans="1:12">
      <c r="A22">
        <v>21</v>
      </c>
      <c r="B22" s="9">
        <v>22</v>
      </c>
      <c r="C22" s="9" t="s">
        <v>78</v>
      </c>
      <c r="D22" s="9">
        <v>81.8</v>
      </c>
      <c r="E22" s="9">
        <v>1.87</v>
      </c>
      <c r="F22" s="9"/>
      <c r="G22" s="9">
        <v>1</v>
      </c>
      <c r="H22" s="9">
        <v>21</v>
      </c>
      <c r="I22" s="9"/>
      <c r="L22">
        <v>21</v>
      </c>
    </row>
    <row r="23" spans="1:12">
      <c r="A23">
        <v>22</v>
      </c>
      <c r="B23" s="9">
        <v>21</v>
      </c>
      <c r="C23" s="9" t="s">
        <v>80</v>
      </c>
      <c r="D23" s="9">
        <v>61.8</v>
      </c>
      <c r="E23" s="9">
        <v>1.67</v>
      </c>
      <c r="F23" s="9"/>
      <c r="G23" s="9">
        <v>1</v>
      </c>
      <c r="H23" s="9">
        <v>21</v>
      </c>
      <c r="I23" s="9"/>
      <c r="L23" s="9">
        <v>21</v>
      </c>
    </row>
    <row r="24" spans="1:12">
      <c r="A24">
        <v>23</v>
      </c>
      <c r="B24" s="9">
        <v>30</v>
      </c>
      <c r="C24" s="9" t="s">
        <v>80</v>
      </c>
      <c r="D24" s="9">
        <v>55.75</v>
      </c>
      <c r="E24" s="9">
        <v>1.61</v>
      </c>
      <c r="F24" s="9"/>
      <c r="G24" s="9">
        <v>1</v>
      </c>
      <c r="H24" s="9">
        <v>20</v>
      </c>
      <c r="I24" s="9" t="s">
        <v>89</v>
      </c>
      <c r="K24">
        <v>20</v>
      </c>
      <c r="L24" s="9">
        <v>0</v>
      </c>
    </row>
    <row r="25" spans="1:12">
      <c r="A25">
        <v>24</v>
      </c>
      <c r="B25" s="9">
        <v>20</v>
      </c>
      <c r="C25" s="9" t="s">
        <v>78</v>
      </c>
      <c r="D25" s="9">
        <v>69.75</v>
      </c>
      <c r="E25" s="9">
        <v>1.71</v>
      </c>
      <c r="G25">
        <v>1</v>
      </c>
      <c r="H25">
        <v>23</v>
      </c>
      <c r="I25" t="s">
        <v>101</v>
      </c>
      <c r="K25">
        <v>3</v>
      </c>
      <c r="L25" s="9">
        <v>20</v>
      </c>
    </row>
    <row r="26" spans="1:12">
      <c r="A26">
        <v>25</v>
      </c>
      <c r="B26" s="9">
        <v>22</v>
      </c>
      <c r="C26" s="9" t="s">
        <v>80</v>
      </c>
      <c r="D26" s="9">
        <v>66.150000000000006</v>
      </c>
      <c r="E26" s="9">
        <v>1.7</v>
      </c>
      <c r="G26">
        <v>1</v>
      </c>
      <c r="H26">
        <v>23</v>
      </c>
      <c r="I26" t="s">
        <v>101</v>
      </c>
      <c r="K26">
        <v>3</v>
      </c>
      <c r="L26" s="9">
        <v>20</v>
      </c>
    </row>
    <row r="27" spans="1:12">
      <c r="A27">
        <v>26</v>
      </c>
      <c r="B27" s="9">
        <v>23</v>
      </c>
      <c r="C27" s="9" t="s">
        <v>78</v>
      </c>
      <c r="D27" s="9">
        <v>73.349999999999994</v>
      </c>
      <c r="E27" s="9">
        <v>1.86</v>
      </c>
      <c r="G27">
        <v>1</v>
      </c>
      <c r="H27">
        <v>22</v>
      </c>
      <c r="I27" t="s">
        <v>101</v>
      </c>
      <c r="K27">
        <v>22</v>
      </c>
      <c r="L27" s="9">
        <v>0</v>
      </c>
    </row>
    <row r="28" spans="1:12">
      <c r="A28">
        <v>27</v>
      </c>
      <c r="B28" s="9">
        <v>22</v>
      </c>
      <c r="C28" s="9" t="s">
        <v>78</v>
      </c>
      <c r="D28" s="9">
        <v>71.75</v>
      </c>
      <c r="E28" s="9">
        <v>1.79</v>
      </c>
      <c r="G28">
        <v>1</v>
      </c>
      <c r="H28">
        <v>22</v>
      </c>
      <c r="I28" t="s">
        <v>101</v>
      </c>
      <c r="K28">
        <v>2</v>
      </c>
      <c r="L28" s="9">
        <v>20</v>
      </c>
    </row>
    <row r="29" spans="1:12">
      <c r="A29">
        <v>28</v>
      </c>
      <c r="B29" s="9">
        <v>19</v>
      </c>
      <c r="C29" s="9" t="s">
        <v>78</v>
      </c>
      <c r="D29" s="9">
        <v>77.75</v>
      </c>
      <c r="E29" s="9">
        <v>1.85</v>
      </c>
      <c r="G29">
        <v>1</v>
      </c>
      <c r="H29">
        <v>21</v>
      </c>
      <c r="I29" t="s">
        <v>101</v>
      </c>
      <c r="K29">
        <v>21</v>
      </c>
      <c r="L29" s="9">
        <v>0</v>
      </c>
    </row>
    <row r="30" spans="1:12">
      <c r="A30">
        <v>29</v>
      </c>
      <c r="B30" s="9">
        <v>29</v>
      </c>
      <c r="C30" s="9" t="s">
        <v>78</v>
      </c>
      <c r="D30" s="9">
        <v>68.900000000000006</v>
      </c>
      <c r="E30" s="9">
        <v>1.75</v>
      </c>
      <c r="G30">
        <v>1</v>
      </c>
      <c r="H30">
        <v>20</v>
      </c>
      <c r="K30">
        <v>0</v>
      </c>
      <c r="L30" s="9">
        <v>20</v>
      </c>
    </row>
    <row r="31" spans="1:12">
      <c r="A31">
        <v>30</v>
      </c>
      <c r="B31" s="9">
        <v>21</v>
      </c>
      <c r="C31" s="9" t="s">
        <v>80</v>
      </c>
      <c r="D31" s="9">
        <v>64.900000000000006</v>
      </c>
      <c r="E31" s="9">
        <v>1.81</v>
      </c>
      <c r="G31">
        <v>1</v>
      </c>
      <c r="H31">
        <v>18</v>
      </c>
      <c r="K31">
        <v>0</v>
      </c>
      <c r="L31" s="9">
        <v>18</v>
      </c>
    </row>
    <row r="32" spans="1:12">
      <c r="A32">
        <v>31</v>
      </c>
      <c r="B32" s="9">
        <v>21</v>
      </c>
      <c r="C32" s="9" t="s">
        <v>78</v>
      </c>
      <c r="D32" s="9">
        <v>80.8</v>
      </c>
      <c r="E32" s="9">
        <v>1.84</v>
      </c>
      <c r="G32">
        <v>1</v>
      </c>
      <c r="H32">
        <v>20</v>
      </c>
      <c r="I32" t="s">
        <v>101</v>
      </c>
      <c r="K32">
        <v>20</v>
      </c>
      <c r="L32" s="9">
        <v>0</v>
      </c>
    </row>
    <row r="33" spans="1:12">
      <c r="A33">
        <v>32</v>
      </c>
      <c r="B33" s="9">
        <v>23</v>
      </c>
      <c r="C33" s="9" t="s">
        <v>78</v>
      </c>
      <c r="D33" s="9">
        <v>82.7</v>
      </c>
      <c r="E33" s="9">
        <v>1.82</v>
      </c>
      <c r="G33">
        <v>1</v>
      </c>
      <c r="H33">
        <v>20</v>
      </c>
      <c r="I33" t="s">
        <v>101</v>
      </c>
      <c r="K33">
        <v>20</v>
      </c>
      <c r="L33" s="9">
        <v>0</v>
      </c>
    </row>
    <row r="34" spans="1:12">
      <c r="A34">
        <v>33</v>
      </c>
      <c r="B34" s="9">
        <v>26</v>
      </c>
      <c r="C34" s="9" t="s">
        <v>80</v>
      </c>
      <c r="D34" s="9">
        <v>54.9</v>
      </c>
      <c r="E34" s="9">
        <v>1.63</v>
      </c>
      <c r="G34">
        <v>1</v>
      </c>
      <c r="H34">
        <v>24</v>
      </c>
      <c r="K34" t="s">
        <v>102</v>
      </c>
    </row>
    <row r="35" spans="1:12">
      <c r="A35">
        <v>34</v>
      </c>
      <c r="B35" s="9">
        <v>21</v>
      </c>
      <c r="C35" s="9" t="s">
        <v>78</v>
      </c>
      <c r="D35" s="9">
        <v>77.3</v>
      </c>
      <c r="E35" s="9">
        <v>1.79</v>
      </c>
      <c r="G35">
        <v>1</v>
      </c>
      <c r="H35">
        <v>22</v>
      </c>
      <c r="I35" t="s">
        <v>101</v>
      </c>
      <c r="K35">
        <v>4</v>
      </c>
      <c r="L35" s="9">
        <v>18</v>
      </c>
    </row>
    <row r="36" spans="1:12">
      <c r="A36">
        <v>35</v>
      </c>
      <c r="B36" s="9">
        <v>24</v>
      </c>
      <c r="C36" s="9" t="s">
        <v>78</v>
      </c>
      <c r="D36" s="9">
        <v>94.2</v>
      </c>
      <c r="E36" s="9">
        <v>1.91</v>
      </c>
    </row>
    <row r="37" spans="1:12">
      <c r="A37">
        <v>36</v>
      </c>
      <c r="B37" s="9">
        <v>23</v>
      </c>
      <c r="C37" s="9" t="s">
        <v>78</v>
      </c>
      <c r="D37" s="9">
        <v>69.5</v>
      </c>
      <c r="E37" s="9">
        <v>1.88</v>
      </c>
    </row>
    <row r="38" spans="1:12">
      <c r="A38">
        <v>37</v>
      </c>
      <c r="B38" s="9">
        <v>26</v>
      </c>
      <c r="C38" s="9" t="s">
        <v>78</v>
      </c>
      <c r="D38" s="9">
        <v>72</v>
      </c>
      <c r="E38" s="9">
        <v>1.84</v>
      </c>
    </row>
    <row r="39" spans="1:12">
      <c r="A39">
        <v>38</v>
      </c>
      <c r="B39" s="9">
        <v>20</v>
      </c>
      <c r="C39" s="9" t="s">
        <v>90</v>
      </c>
      <c r="D39" s="9">
        <v>52.3</v>
      </c>
      <c r="E39" s="9">
        <v>1.58</v>
      </c>
    </row>
    <row r="40" spans="1:12">
      <c r="A40">
        <v>39</v>
      </c>
      <c r="B40" s="9">
        <v>25</v>
      </c>
      <c r="C40" s="9" t="s">
        <v>90</v>
      </c>
      <c r="D40" s="9">
        <v>60.4</v>
      </c>
      <c r="E40" s="9">
        <v>1.68</v>
      </c>
    </row>
    <row r="41" spans="1:12">
      <c r="A41">
        <v>40</v>
      </c>
      <c r="B41" s="9">
        <v>23</v>
      </c>
      <c r="C41" s="9" t="s">
        <v>90</v>
      </c>
      <c r="D41" s="9">
        <v>55</v>
      </c>
      <c r="E41" s="9">
        <v>1.64</v>
      </c>
    </row>
    <row r="42" spans="1:12">
      <c r="A42">
        <v>41</v>
      </c>
      <c r="B42" s="9">
        <v>21</v>
      </c>
      <c r="C42" s="9" t="s">
        <v>90</v>
      </c>
      <c r="D42" s="9">
        <v>69.7</v>
      </c>
      <c r="E42" s="9">
        <v>1.69</v>
      </c>
    </row>
    <row r="43" spans="1:12">
      <c r="A43">
        <v>42</v>
      </c>
      <c r="B43" s="9">
        <v>26</v>
      </c>
      <c r="C43" s="9" t="s">
        <v>90</v>
      </c>
      <c r="D43" s="9">
        <v>59.3</v>
      </c>
      <c r="E43" s="9">
        <v>1.69</v>
      </c>
    </row>
    <row r="44" spans="1:12">
      <c r="A44">
        <v>43</v>
      </c>
      <c r="B44" s="9">
        <v>25</v>
      </c>
      <c r="C44" s="9" t="s">
        <v>90</v>
      </c>
      <c r="D44" s="9">
        <v>54.5</v>
      </c>
      <c r="E44" s="9">
        <v>1.67</v>
      </c>
    </row>
    <row r="45" spans="1:12">
      <c r="A45">
        <v>44</v>
      </c>
      <c r="B45" s="9">
        <v>23</v>
      </c>
      <c r="C45" s="9" t="s">
        <v>90</v>
      </c>
      <c r="D45" s="9">
        <v>57.4</v>
      </c>
      <c r="E45" s="9">
        <v>1.75</v>
      </c>
    </row>
    <row r="46" spans="1:12">
      <c r="A46">
        <v>45</v>
      </c>
      <c r="B46" s="9">
        <v>27</v>
      </c>
      <c r="C46" s="9" t="s">
        <v>90</v>
      </c>
      <c r="D46" s="9">
        <v>47.3</v>
      </c>
      <c r="E46" s="9">
        <v>1.6</v>
      </c>
    </row>
    <row r="47" spans="1:12">
      <c r="A47">
        <v>46</v>
      </c>
      <c r="B47">
        <v>22</v>
      </c>
      <c r="C47" t="s">
        <v>90</v>
      </c>
      <c r="D47">
        <v>61.4</v>
      </c>
      <c r="E47">
        <v>1.62</v>
      </c>
    </row>
    <row r="48" spans="1:12">
      <c r="A48">
        <v>47</v>
      </c>
      <c r="B48">
        <v>21</v>
      </c>
      <c r="C48" t="s">
        <v>78</v>
      </c>
      <c r="D48">
        <v>82.3</v>
      </c>
      <c r="E48">
        <v>1.81</v>
      </c>
    </row>
    <row r="49" spans="1:5">
      <c r="A49">
        <v>48</v>
      </c>
      <c r="B49">
        <v>19</v>
      </c>
      <c r="C49" t="s">
        <v>90</v>
      </c>
      <c r="D49">
        <v>65.599999999999994</v>
      </c>
      <c r="E49">
        <v>1.69</v>
      </c>
    </row>
    <row r="50" spans="1:5">
      <c r="A50">
        <v>49</v>
      </c>
      <c r="B50">
        <v>22</v>
      </c>
      <c r="C50" t="s">
        <v>90</v>
      </c>
      <c r="D50">
        <v>56.7</v>
      </c>
      <c r="E50">
        <v>1.55</v>
      </c>
    </row>
    <row r="51" spans="1:5">
      <c r="A51">
        <v>50</v>
      </c>
      <c r="B51">
        <v>26</v>
      </c>
      <c r="C51" t="s">
        <v>90</v>
      </c>
      <c r="D51">
        <v>56</v>
      </c>
      <c r="E51">
        <v>1.61</v>
      </c>
    </row>
    <row r="52" spans="1:5">
      <c r="A52">
        <v>51</v>
      </c>
      <c r="B52">
        <v>21</v>
      </c>
      <c r="C52" t="s">
        <v>78</v>
      </c>
      <c r="D52">
        <v>69.099999999999994</v>
      </c>
      <c r="E52">
        <v>1.82</v>
      </c>
    </row>
    <row r="53" spans="1:5">
      <c r="A53">
        <v>52</v>
      </c>
      <c r="B53">
        <v>22</v>
      </c>
      <c r="C53" t="s">
        <v>90</v>
      </c>
      <c r="D53">
        <v>62.1</v>
      </c>
      <c r="E53">
        <v>1.62</v>
      </c>
    </row>
    <row r="54" spans="1:5">
      <c r="A54">
        <v>53</v>
      </c>
      <c r="B54">
        <v>30</v>
      </c>
      <c r="C54" t="s">
        <v>78</v>
      </c>
      <c r="D54">
        <v>80.7</v>
      </c>
      <c r="E54">
        <v>1.74</v>
      </c>
    </row>
    <row r="55" spans="1:5">
      <c r="A55">
        <v>54</v>
      </c>
      <c r="B55">
        <v>21</v>
      </c>
      <c r="C55" t="s">
        <v>78</v>
      </c>
      <c r="D55">
        <v>91.2</v>
      </c>
      <c r="E55">
        <v>1.99</v>
      </c>
    </row>
    <row r="56" spans="1:5">
      <c r="A56">
        <v>55</v>
      </c>
      <c r="B56">
        <v>21</v>
      </c>
      <c r="C56" t="s">
        <v>78</v>
      </c>
      <c r="D56">
        <v>69.5</v>
      </c>
      <c r="E56">
        <v>1.78</v>
      </c>
    </row>
    <row r="57" spans="1:5">
      <c r="A57">
        <v>56</v>
      </c>
      <c r="B57">
        <v>24</v>
      </c>
      <c r="C57" t="s">
        <v>78</v>
      </c>
      <c r="D57">
        <v>67.5</v>
      </c>
      <c r="E57">
        <v>1.83</v>
      </c>
    </row>
    <row r="58" spans="1:5">
      <c r="A58">
        <v>57</v>
      </c>
      <c r="B58">
        <v>22</v>
      </c>
      <c r="C58" t="s">
        <v>90</v>
      </c>
      <c r="D58">
        <v>62.1</v>
      </c>
      <c r="E58">
        <v>1.81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52"/>
  <sheetViews>
    <sheetView zoomScale="115" zoomScaleNormal="115" workbookViewId="0">
      <selection activeCell="L3" sqref="L3"/>
    </sheetView>
  </sheetViews>
  <sheetFormatPr defaultColWidth="8.6640625" defaultRowHeight="14.4"/>
  <cols>
    <col min="1" max="1" width="9.88671875" customWidth="1"/>
    <col min="3" max="3" width="8.88671875" customWidth="1"/>
    <col min="4" max="4" width="13.6640625" customWidth="1"/>
    <col min="5" max="5" width="12.44140625" customWidth="1"/>
    <col min="8" max="8" width="21.33203125" customWidth="1"/>
    <col min="9" max="9" width="35.33203125" customWidth="1"/>
    <col min="10" max="10" width="50.88671875" customWidth="1"/>
  </cols>
  <sheetData>
    <row r="1" spans="1:16">
      <c r="A1" s="8" t="s">
        <v>91</v>
      </c>
      <c r="B1" s="8" t="s">
        <v>67</v>
      </c>
      <c r="C1" s="8" t="s">
        <v>68</v>
      </c>
      <c r="D1" t="s">
        <v>69</v>
      </c>
      <c r="E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P1" t="s">
        <v>77</v>
      </c>
    </row>
    <row r="2" spans="1:16">
      <c r="A2">
        <v>1</v>
      </c>
      <c r="B2">
        <v>38</v>
      </c>
      <c r="C2" t="s">
        <v>78</v>
      </c>
      <c r="D2">
        <v>75.527861547542898</v>
      </c>
      <c r="E2">
        <v>1.75</v>
      </c>
      <c r="L2">
        <f t="array" ref="L2:L52">H2:H52-K2:K52</f>
        <v>0</v>
      </c>
    </row>
    <row r="3" spans="1:16">
      <c r="A3">
        <v>2</v>
      </c>
      <c r="B3">
        <v>38</v>
      </c>
      <c r="C3" t="s">
        <v>90</v>
      </c>
      <c r="D3">
        <v>75.216410190148395</v>
      </c>
      <c r="E3">
        <v>1.65</v>
      </c>
      <c r="L3">
        <v>0</v>
      </c>
    </row>
    <row r="4" spans="1:16">
      <c r="A4">
        <v>3</v>
      </c>
      <c r="B4">
        <v>26</v>
      </c>
      <c r="C4" t="s">
        <v>78</v>
      </c>
      <c r="D4">
        <v>90.178596065609895</v>
      </c>
      <c r="E4">
        <v>1.8</v>
      </c>
      <c r="L4">
        <v>0</v>
      </c>
    </row>
    <row r="5" spans="1:16">
      <c r="A5">
        <v>4</v>
      </c>
      <c r="B5">
        <v>35</v>
      </c>
      <c r="C5" t="s">
        <v>78</v>
      </c>
      <c r="D5">
        <v>68.752980738810905</v>
      </c>
      <c r="E5">
        <v>1.835</v>
      </c>
      <c r="L5">
        <v>0</v>
      </c>
    </row>
    <row r="6" spans="1:16">
      <c r="A6">
        <v>5</v>
      </c>
      <c r="B6">
        <v>23</v>
      </c>
      <c r="C6" t="s">
        <v>78</v>
      </c>
      <c r="D6">
        <v>95.030180507290396</v>
      </c>
      <c r="E6">
        <v>1.8260000000000001</v>
      </c>
      <c r="L6">
        <v>0</v>
      </c>
    </row>
    <row r="7" spans="1:16">
      <c r="A7">
        <v>6</v>
      </c>
      <c r="B7">
        <v>24</v>
      </c>
      <c r="C7" t="s">
        <v>78</v>
      </c>
      <c r="D7">
        <v>70.554727693756206</v>
      </c>
      <c r="E7">
        <v>1.675</v>
      </c>
      <c r="L7">
        <v>0</v>
      </c>
    </row>
    <row r="8" spans="1:16">
      <c r="A8">
        <v>7</v>
      </c>
      <c r="B8">
        <v>25</v>
      </c>
      <c r="C8" t="s">
        <v>78</v>
      </c>
      <c r="D8">
        <v>90.784376337728006</v>
      </c>
      <c r="E8">
        <v>1.8540000000000001</v>
      </c>
      <c r="L8">
        <v>0</v>
      </c>
    </row>
    <row r="9" spans="1:16">
      <c r="A9">
        <v>8</v>
      </c>
      <c r="B9">
        <v>28</v>
      </c>
      <c r="C9" t="s">
        <v>90</v>
      </c>
      <c r="D9">
        <v>75.6063604141372</v>
      </c>
      <c r="E9">
        <v>1.716</v>
      </c>
      <c r="L9">
        <v>0</v>
      </c>
    </row>
    <row r="10" spans="1:16">
      <c r="A10">
        <v>9</v>
      </c>
      <c r="B10">
        <v>24</v>
      </c>
      <c r="C10" t="s">
        <v>78</v>
      </c>
      <c r="D10">
        <v>76.357363880860305</v>
      </c>
      <c r="E10">
        <v>1.8879999999999999</v>
      </c>
      <c r="L10">
        <v>0</v>
      </c>
    </row>
    <row r="11" spans="1:16">
      <c r="A11">
        <v>10</v>
      </c>
      <c r="B11">
        <v>25</v>
      </c>
      <c r="C11" t="s">
        <v>78</v>
      </c>
      <c r="D11">
        <v>57.273416314576401</v>
      </c>
      <c r="E11">
        <v>1.7050000000000001</v>
      </c>
      <c r="L11">
        <v>0</v>
      </c>
    </row>
    <row r="12" spans="1:16">
      <c r="A12">
        <v>11</v>
      </c>
      <c r="B12">
        <v>28</v>
      </c>
      <c r="C12" t="s">
        <v>90</v>
      </c>
      <c r="D12">
        <v>68.838643739611896</v>
      </c>
      <c r="E12">
        <v>1.7010000000000001</v>
      </c>
      <c r="L12">
        <v>0</v>
      </c>
    </row>
    <row r="13" spans="1:16">
      <c r="A13">
        <v>12</v>
      </c>
      <c r="B13">
        <v>39</v>
      </c>
      <c r="C13" t="s">
        <v>78</v>
      </c>
      <c r="D13">
        <v>89.765031280522606</v>
      </c>
      <c r="E13">
        <v>1.8560000000000001</v>
      </c>
      <c r="L13">
        <v>0</v>
      </c>
    </row>
    <row r="14" spans="1:16">
      <c r="A14">
        <v>13</v>
      </c>
      <c r="B14">
        <v>25</v>
      </c>
      <c r="C14" t="s">
        <v>90</v>
      </c>
      <c r="D14">
        <v>73.154918953797207</v>
      </c>
      <c r="E14">
        <v>1.78</v>
      </c>
      <c r="L14">
        <v>0</v>
      </c>
    </row>
    <row r="15" spans="1:16">
      <c r="A15">
        <v>14</v>
      </c>
      <c r="B15">
        <v>38</v>
      </c>
      <c r="C15" t="s">
        <v>78</v>
      </c>
      <c r="D15">
        <v>94.315477454296001</v>
      </c>
      <c r="E15">
        <v>1.7649999999999999</v>
      </c>
      <c r="L15">
        <v>0</v>
      </c>
    </row>
    <row r="16" spans="1:16">
      <c r="A16">
        <v>15</v>
      </c>
      <c r="B16">
        <v>26</v>
      </c>
      <c r="C16" t="s">
        <v>90</v>
      </c>
      <c r="D16">
        <v>62.864201055909199</v>
      </c>
      <c r="E16">
        <v>1.667</v>
      </c>
      <c r="L16">
        <v>0</v>
      </c>
    </row>
    <row r="17" spans="1:12">
      <c r="A17">
        <v>16</v>
      </c>
      <c r="B17">
        <v>45</v>
      </c>
      <c r="C17" t="s">
        <v>90</v>
      </c>
      <c r="D17">
        <v>70.474324955046299</v>
      </c>
      <c r="E17">
        <v>1.74</v>
      </c>
      <c r="L17">
        <v>0</v>
      </c>
    </row>
    <row r="18" spans="1:12">
      <c r="A18">
        <v>17</v>
      </c>
      <c r="B18">
        <v>34</v>
      </c>
      <c r="C18" t="s">
        <v>78</v>
      </c>
      <c r="D18">
        <v>81.187589890170202</v>
      </c>
      <c r="E18">
        <v>1.85</v>
      </c>
      <c r="L18">
        <v>0</v>
      </c>
    </row>
    <row r="19" spans="1:12">
      <c r="A19">
        <v>18</v>
      </c>
      <c r="B19">
        <v>23</v>
      </c>
      <c r="C19" t="s">
        <v>90</v>
      </c>
      <c r="D19">
        <v>73.292966162861603</v>
      </c>
      <c r="E19">
        <v>1.7370000000000001</v>
      </c>
      <c r="L19">
        <v>0</v>
      </c>
    </row>
    <row r="20" spans="1:12">
      <c r="A20">
        <v>19</v>
      </c>
      <c r="B20">
        <v>25</v>
      </c>
      <c r="C20" t="s">
        <v>90</v>
      </c>
      <c r="D20">
        <v>63.2347601966772</v>
      </c>
      <c r="E20">
        <v>1.69</v>
      </c>
      <c r="L20">
        <v>0</v>
      </c>
    </row>
    <row r="21" spans="1:12">
      <c r="A21">
        <v>20</v>
      </c>
      <c r="B21">
        <v>29</v>
      </c>
      <c r="C21" t="s">
        <v>78</v>
      </c>
      <c r="D21">
        <v>73.268840066888799</v>
      </c>
      <c r="E21">
        <v>1.77</v>
      </c>
      <c r="L21">
        <v>0</v>
      </c>
    </row>
    <row r="22" spans="1:12">
      <c r="A22">
        <v>21</v>
      </c>
      <c r="B22">
        <v>25</v>
      </c>
      <c r="C22" t="s">
        <v>78</v>
      </c>
      <c r="D22">
        <v>58.029067769687003</v>
      </c>
      <c r="E22">
        <v>1.7250000000000001</v>
      </c>
      <c r="L22">
        <v>0</v>
      </c>
    </row>
    <row r="23" spans="1:12">
      <c r="A23">
        <v>22</v>
      </c>
      <c r="B23">
        <v>21</v>
      </c>
      <c r="C23" t="s">
        <v>78</v>
      </c>
      <c r="D23">
        <v>85.818703009347004</v>
      </c>
      <c r="E23">
        <v>1.845</v>
      </c>
      <c r="L23">
        <v>0</v>
      </c>
    </row>
    <row r="24" spans="1:12">
      <c r="A24">
        <v>23</v>
      </c>
      <c r="B24">
        <v>25</v>
      </c>
      <c r="C24" t="s">
        <v>90</v>
      </c>
      <c r="D24">
        <v>76.065091739440305</v>
      </c>
      <c r="E24">
        <v>1.7250000000000001</v>
      </c>
      <c r="L24">
        <v>0</v>
      </c>
    </row>
    <row r="25" spans="1:12">
      <c r="A25">
        <v>24</v>
      </c>
      <c r="B25">
        <v>27</v>
      </c>
      <c r="C25" t="s">
        <v>78</v>
      </c>
      <c r="D25">
        <v>84.500624785972605</v>
      </c>
      <c r="E25">
        <v>1.7350000000000001</v>
      </c>
      <c r="L25">
        <v>0</v>
      </c>
    </row>
    <row r="26" spans="1:12">
      <c r="A26">
        <v>25</v>
      </c>
      <c r="B26">
        <v>30</v>
      </c>
      <c r="C26" t="s">
        <v>78</v>
      </c>
      <c r="D26">
        <v>80.189139537331101</v>
      </c>
      <c r="E26">
        <v>1.78</v>
      </c>
      <c r="L26">
        <v>0</v>
      </c>
    </row>
    <row r="27" spans="1:12">
      <c r="A27">
        <v>26</v>
      </c>
      <c r="B27">
        <v>37</v>
      </c>
      <c r="C27" t="s">
        <v>78</v>
      </c>
      <c r="D27">
        <v>81.482945334893799</v>
      </c>
      <c r="E27">
        <v>1.75</v>
      </c>
      <c r="L27">
        <v>0</v>
      </c>
    </row>
    <row r="28" spans="1:12">
      <c r="A28">
        <v>27</v>
      </c>
      <c r="B28">
        <v>42</v>
      </c>
      <c r="C28" t="s">
        <v>90</v>
      </c>
      <c r="D28">
        <v>62.231371023998598</v>
      </c>
      <c r="E28">
        <v>1.6619999999999999</v>
      </c>
      <c r="L28">
        <v>0</v>
      </c>
    </row>
    <row r="29" spans="1:12">
      <c r="A29">
        <v>28</v>
      </c>
      <c r="B29">
        <v>27</v>
      </c>
      <c r="C29" t="s">
        <v>78</v>
      </c>
      <c r="D29">
        <v>103.593135418738</v>
      </c>
      <c r="E29">
        <v>1.7250000000000001</v>
      </c>
      <c r="L29">
        <v>0</v>
      </c>
    </row>
    <row r="30" spans="1:12">
      <c r="A30">
        <v>29</v>
      </c>
      <c r="B30">
        <v>29</v>
      </c>
      <c r="C30" t="s">
        <v>78</v>
      </c>
      <c r="D30">
        <v>89.521141517738698</v>
      </c>
      <c r="E30">
        <v>1.7</v>
      </c>
      <c r="L30">
        <v>0</v>
      </c>
    </row>
    <row r="31" spans="1:12">
      <c r="A31">
        <v>30</v>
      </c>
      <c r="B31">
        <v>27</v>
      </c>
      <c r="C31" t="s">
        <v>78</v>
      </c>
      <c r="D31">
        <v>68.862616007902801</v>
      </c>
      <c r="E31">
        <v>1.7450000000000001</v>
      </c>
      <c r="L31">
        <v>0</v>
      </c>
    </row>
    <row r="32" spans="1:12">
      <c r="A32">
        <v>31</v>
      </c>
      <c r="B32">
        <v>31</v>
      </c>
      <c r="C32" t="s">
        <v>78</v>
      </c>
      <c r="D32">
        <v>80.579689644200002</v>
      </c>
      <c r="E32">
        <v>1.83</v>
      </c>
      <c r="G32">
        <v>3</v>
      </c>
      <c r="H32">
        <v>40</v>
      </c>
      <c r="I32" t="s">
        <v>92</v>
      </c>
      <c r="K32">
        <v>40</v>
      </c>
      <c r="L32">
        <v>0</v>
      </c>
    </row>
    <row r="33" spans="1:12">
      <c r="A33">
        <v>32</v>
      </c>
      <c r="B33">
        <v>26</v>
      </c>
      <c r="C33" t="s">
        <v>78</v>
      </c>
      <c r="D33">
        <v>68.146280219349904</v>
      </c>
      <c r="E33">
        <v>1.69</v>
      </c>
      <c r="G33">
        <v>3</v>
      </c>
      <c r="H33">
        <v>44</v>
      </c>
      <c r="I33" t="s">
        <v>93</v>
      </c>
      <c r="K33">
        <v>3</v>
      </c>
      <c r="L33">
        <v>41</v>
      </c>
    </row>
    <row r="34" spans="1:12">
      <c r="A34">
        <v>33</v>
      </c>
      <c r="B34">
        <v>28</v>
      </c>
      <c r="C34" t="s">
        <v>90</v>
      </c>
      <c r="D34">
        <v>76.350187907485605</v>
      </c>
      <c r="E34">
        <v>1.61</v>
      </c>
      <c r="G34">
        <v>3</v>
      </c>
      <c r="H34">
        <v>41</v>
      </c>
      <c r="I34" t="s">
        <v>92</v>
      </c>
      <c r="K34">
        <v>41</v>
      </c>
      <c r="L34">
        <v>0</v>
      </c>
    </row>
    <row r="35" spans="1:12">
      <c r="A35">
        <v>34</v>
      </c>
      <c r="B35">
        <v>31</v>
      </c>
      <c r="C35" t="s">
        <v>78</v>
      </c>
      <c r="D35">
        <v>75.240691431495094</v>
      </c>
      <c r="E35">
        <v>1.7150000000000001</v>
      </c>
      <c r="G35">
        <v>3</v>
      </c>
      <c r="H35">
        <v>41</v>
      </c>
      <c r="I35" t="s">
        <v>92</v>
      </c>
      <c r="K35">
        <v>41</v>
      </c>
      <c r="L35">
        <v>0</v>
      </c>
    </row>
    <row r="36" spans="1:12">
      <c r="A36">
        <v>35</v>
      </c>
      <c r="B36">
        <v>33</v>
      </c>
      <c r="C36" t="s">
        <v>78</v>
      </c>
      <c r="D36">
        <v>84.462231629890397</v>
      </c>
      <c r="E36">
        <v>1.7549999999999999</v>
      </c>
      <c r="G36">
        <v>3</v>
      </c>
      <c r="H36">
        <v>40</v>
      </c>
      <c r="I36" t="s">
        <v>92</v>
      </c>
      <c r="K36">
        <v>40</v>
      </c>
      <c r="L36">
        <v>0</v>
      </c>
    </row>
    <row r="37" spans="1:12">
      <c r="A37">
        <v>36</v>
      </c>
      <c r="B37">
        <v>23</v>
      </c>
      <c r="C37" t="s">
        <v>78</v>
      </c>
      <c r="D37">
        <v>54.140492711229903</v>
      </c>
      <c r="E37">
        <v>1.696</v>
      </c>
      <c r="G37">
        <v>3</v>
      </c>
      <c r="H37">
        <v>40</v>
      </c>
      <c r="I37" t="s">
        <v>92</v>
      </c>
      <c r="K37">
        <v>40</v>
      </c>
      <c r="L37">
        <v>0</v>
      </c>
    </row>
    <row r="38" spans="1:12">
      <c r="A38">
        <v>37</v>
      </c>
      <c r="B38">
        <v>28</v>
      </c>
      <c r="C38" t="s">
        <v>78</v>
      </c>
      <c r="D38">
        <v>90.3777449015748</v>
      </c>
      <c r="E38">
        <v>1.8660000000000001</v>
      </c>
      <c r="G38">
        <v>3</v>
      </c>
      <c r="H38">
        <v>43</v>
      </c>
      <c r="I38" t="s">
        <v>92</v>
      </c>
      <c r="K38">
        <v>43</v>
      </c>
      <c r="L38">
        <v>0</v>
      </c>
    </row>
    <row r="39" spans="1:12">
      <c r="A39">
        <v>38</v>
      </c>
      <c r="B39">
        <v>26</v>
      </c>
      <c r="C39" t="s">
        <v>78</v>
      </c>
      <c r="D39">
        <v>76.818976821680806</v>
      </c>
      <c r="E39">
        <v>1.8069999999999999</v>
      </c>
      <c r="G39">
        <v>3</v>
      </c>
      <c r="H39">
        <v>40</v>
      </c>
      <c r="I39" t="s">
        <v>94</v>
      </c>
      <c r="K39">
        <v>6</v>
      </c>
      <c r="L39">
        <v>34</v>
      </c>
    </row>
    <row r="40" spans="1:12">
      <c r="A40">
        <v>39</v>
      </c>
      <c r="B40">
        <v>21</v>
      </c>
      <c r="C40" t="s">
        <v>90</v>
      </c>
      <c r="D40">
        <v>63.023042292533198</v>
      </c>
      <c r="E40">
        <v>1.7</v>
      </c>
      <c r="G40">
        <v>3</v>
      </c>
      <c r="H40">
        <v>44</v>
      </c>
      <c r="I40" t="s">
        <v>95</v>
      </c>
      <c r="K40">
        <v>7</v>
      </c>
      <c r="L40">
        <v>37</v>
      </c>
    </row>
    <row r="41" spans="1:12">
      <c r="A41">
        <v>40</v>
      </c>
      <c r="B41">
        <v>28</v>
      </c>
      <c r="C41" t="s">
        <v>78</v>
      </c>
      <c r="D41">
        <v>136.13657014312699</v>
      </c>
      <c r="E41">
        <v>1.8360000000000001</v>
      </c>
      <c r="G41">
        <v>3</v>
      </c>
      <c r="H41">
        <v>40</v>
      </c>
      <c r="I41" t="s">
        <v>92</v>
      </c>
      <c r="K41">
        <v>40</v>
      </c>
      <c r="L41">
        <v>0</v>
      </c>
    </row>
    <row r="42" spans="1:12">
      <c r="A42">
        <v>41</v>
      </c>
      <c r="B42">
        <v>28</v>
      </c>
      <c r="C42" t="s">
        <v>78</v>
      </c>
      <c r="D42">
        <v>85.778406001692602</v>
      </c>
      <c r="E42">
        <v>1.855</v>
      </c>
      <c r="L42">
        <v>0</v>
      </c>
    </row>
    <row r="43" spans="1:12">
      <c r="A43">
        <v>42</v>
      </c>
      <c r="B43">
        <v>20</v>
      </c>
      <c r="C43" t="s">
        <v>90</v>
      </c>
      <c r="D43">
        <v>79.409803278182807</v>
      </c>
      <c r="E43">
        <v>1.78</v>
      </c>
      <c r="L43">
        <v>0</v>
      </c>
    </row>
    <row r="44" spans="1:12">
      <c r="A44">
        <v>43</v>
      </c>
      <c r="B44">
        <v>37</v>
      </c>
      <c r="C44" t="s">
        <v>78</v>
      </c>
      <c r="D44">
        <v>61.022674401557197</v>
      </c>
      <c r="E44">
        <v>1.79</v>
      </c>
      <c r="L44">
        <v>0</v>
      </c>
    </row>
    <row r="45" spans="1:12">
      <c r="A45">
        <v>44</v>
      </c>
      <c r="B45">
        <v>21</v>
      </c>
      <c r="C45" t="s">
        <v>90</v>
      </c>
      <c r="D45">
        <v>61.324277567479101</v>
      </c>
      <c r="E45">
        <v>1.645</v>
      </c>
      <c r="L45">
        <v>0</v>
      </c>
    </row>
    <row r="46" spans="1:12">
      <c r="A46">
        <v>45</v>
      </c>
      <c r="B46">
        <v>26</v>
      </c>
      <c r="C46" t="s">
        <v>90</v>
      </c>
      <c r="D46">
        <v>79.018618686461394</v>
      </c>
      <c r="E46">
        <v>1.63</v>
      </c>
      <c r="L46">
        <v>0</v>
      </c>
    </row>
    <row r="47" spans="1:12">
      <c r="A47">
        <v>46</v>
      </c>
      <c r="B47">
        <v>28</v>
      </c>
      <c r="C47" t="s">
        <v>90</v>
      </c>
      <c r="D47">
        <v>64.610276323420507</v>
      </c>
      <c r="E47">
        <v>1.65</v>
      </c>
      <c r="L47">
        <v>0</v>
      </c>
    </row>
    <row r="48" spans="1:12">
      <c r="A48">
        <v>47</v>
      </c>
      <c r="B48">
        <v>30</v>
      </c>
      <c r="C48" t="s">
        <v>90</v>
      </c>
      <c r="D48">
        <v>61.061758542644803</v>
      </c>
      <c r="E48">
        <v>1.6579999999999999</v>
      </c>
      <c r="L48">
        <v>0</v>
      </c>
    </row>
    <row r="49" spans="1:12">
      <c r="A49">
        <v>48</v>
      </c>
      <c r="B49">
        <v>36</v>
      </c>
      <c r="C49" t="s">
        <v>78</v>
      </c>
      <c r="D49">
        <v>68.4202597262979</v>
      </c>
      <c r="E49">
        <v>1.7150000000000001</v>
      </c>
      <c r="L49">
        <v>0</v>
      </c>
    </row>
    <row r="50" spans="1:12">
      <c r="A50">
        <v>49</v>
      </c>
      <c r="B50">
        <v>68</v>
      </c>
      <c r="C50" t="s">
        <v>78</v>
      </c>
      <c r="D50">
        <v>80.633207153808499</v>
      </c>
      <c r="E50">
        <v>1.7450000000000001</v>
      </c>
      <c r="L50">
        <v>0</v>
      </c>
    </row>
    <row r="51" spans="1:12">
      <c r="A51">
        <v>50</v>
      </c>
      <c r="B51">
        <v>34</v>
      </c>
      <c r="C51" t="s">
        <v>78</v>
      </c>
      <c r="D51">
        <v>96.299047509172397</v>
      </c>
      <c r="E51">
        <v>1.742</v>
      </c>
      <c r="L51">
        <v>0</v>
      </c>
    </row>
    <row r="52" spans="1:12">
      <c r="A52">
        <v>51</v>
      </c>
      <c r="B52">
        <v>25</v>
      </c>
      <c r="C52" t="s">
        <v>90</v>
      </c>
      <c r="D52">
        <v>65.733442413113394</v>
      </c>
      <c r="E52">
        <v>1.6950000000000001</v>
      </c>
      <c r="L52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3"/>
  <sheetViews>
    <sheetView zoomScaleNormal="100" workbookViewId="0">
      <selection activeCell="L10" sqref="L10"/>
    </sheetView>
  </sheetViews>
  <sheetFormatPr defaultColWidth="8.88671875" defaultRowHeight="14.4"/>
  <cols>
    <col min="8" max="8" width="10.88671875" customWidth="1"/>
    <col min="9" max="9" width="28.88671875" customWidth="1"/>
    <col min="10" max="10" width="33.109375" customWidth="1"/>
    <col min="11" max="11" width="36.6640625" customWidth="1"/>
    <col min="12" max="12" width="13.44140625" customWidth="1"/>
  </cols>
  <sheetData>
    <row r="1" spans="1:12">
      <c r="A1" t="s">
        <v>66</v>
      </c>
      <c r="B1" t="s">
        <v>67</v>
      </c>
      <c r="C1" t="s">
        <v>68</v>
      </c>
      <c r="D1" t="s">
        <v>96</v>
      </c>
      <c r="E1" t="s">
        <v>70</v>
      </c>
      <c r="G1" t="s">
        <v>71</v>
      </c>
      <c r="H1" t="s">
        <v>81</v>
      </c>
      <c r="I1" t="s">
        <v>73</v>
      </c>
      <c r="J1" t="s">
        <v>74</v>
      </c>
      <c r="K1" t="s">
        <v>75</v>
      </c>
      <c r="L1" t="s">
        <v>76</v>
      </c>
    </row>
    <row r="2" spans="1:12">
      <c r="A2">
        <v>1</v>
      </c>
      <c r="B2" t="s">
        <v>97</v>
      </c>
      <c r="C2" t="s">
        <v>97</v>
      </c>
      <c r="D2" t="s">
        <v>97</v>
      </c>
      <c r="E2" t="s">
        <v>97</v>
      </c>
      <c r="G2">
        <v>0</v>
      </c>
      <c r="H2">
        <v>18</v>
      </c>
    </row>
    <row r="3" spans="1:12">
      <c r="A3">
        <v>2</v>
      </c>
      <c r="B3" t="s">
        <v>97</v>
      </c>
      <c r="C3" t="s">
        <v>97</v>
      </c>
      <c r="D3" t="s">
        <v>97</v>
      </c>
      <c r="E3" t="s">
        <v>97</v>
      </c>
      <c r="G3">
        <v>0</v>
      </c>
      <c r="H3">
        <v>16</v>
      </c>
    </row>
    <row r="4" spans="1:12">
      <c r="A4">
        <v>3</v>
      </c>
      <c r="B4" t="s">
        <v>97</v>
      </c>
      <c r="C4" t="s">
        <v>97</v>
      </c>
      <c r="D4" t="s">
        <v>97</v>
      </c>
      <c r="E4" t="s">
        <v>97</v>
      </c>
      <c r="G4">
        <v>0</v>
      </c>
      <c r="H4">
        <v>12</v>
      </c>
    </row>
    <row r="5" spans="1:12">
      <c r="A5">
        <v>4</v>
      </c>
      <c r="B5" t="s">
        <v>97</v>
      </c>
      <c r="C5" t="s">
        <v>97</v>
      </c>
      <c r="D5" t="s">
        <v>97</v>
      </c>
      <c r="E5" t="s">
        <v>97</v>
      </c>
      <c r="G5">
        <v>0</v>
      </c>
      <c r="H5">
        <v>19</v>
      </c>
    </row>
    <row r="6" spans="1:12">
      <c r="A6">
        <v>5</v>
      </c>
      <c r="B6" t="s">
        <v>97</v>
      </c>
      <c r="C6" t="s">
        <v>97</v>
      </c>
      <c r="D6" t="s">
        <v>97</v>
      </c>
      <c r="E6" t="s">
        <v>97</v>
      </c>
      <c r="G6">
        <v>0</v>
      </c>
      <c r="H6">
        <v>19</v>
      </c>
    </row>
    <row r="7" spans="1:12">
      <c r="A7">
        <v>6</v>
      </c>
      <c r="B7" t="s">
        <v>97</v>
      </c>
      <c r="C7" t="s">
        <v>97</v>
      </c>
      <c r="D7" t="s">
        <v>97</v>
      </c>
      <c r="E7" t="s">
        <v>97</v>
      </c>
      <c r="G7">
        <v>0</v>
      </c>
      <c r="H7">
        <v>17</v>
      </c>
    </row>
    <row r="8" spans="1:12">
      <c r="A8">
        <v>7</v>
      </c>
      <c r="B8" t="s">
        <v>97</v>
      </c>
      <c r="C8" t="s">
        <v>97</v>
      </c>
      <c r="D8" t="s">
        <v>97</v>
      </c>
      <c r="E8" t="s">
        <v>97</v>
      </c>
      <c r="G8">
        <v>0</v>
      </c>
      <c r="H8">
        <v>15</v>
      </c>
      <c r="L8">
        <v>2</v>
      </c>
    </row>
    <row r="9" spans="1:12">
      <c r="A9">
        <v>8</v>
      </c>
      <c r="B9" t="s">
        <v>97</v>
      </c>
      <c r="C9" t="s">
        <v>97</v>
      </c>
      <c r="D9" t="s">
        <v>97</v>
      </c>
      <c r="E9" t="s">
        <v>97</v>
      </c>
      <c r="G9">
        <v>0</v>
      </c>
      <c r="H9">
        <v>15</v>
      </c>
      <c r="L9">
        <v>2</v>
      </c>
    </row>
    <row r="10" spans="1:12">
      <c r="A10">
        <v>9</v>
      </c>
      <c r="B10" t="s">
        <v>97</v>
      </c>
      <c r="C10" t="s">
        <v>97</v>
      </c>
      <c r="D10" t="s">
        <v>97</v>
      </c>
      <c r="E10" t="s">
        <v>97</v>
      </c>
      <c r="G10">
        <v>0</v>
      </c>
      <c r="H10">
        <v>19</v>
      </c>
    </row>
    <row r="11" spans="1:12">
      <c r="A11">
        <v>10</v>
      </c>
      <c r="B11" t="s">
        <v>97</v>
      </c>
      <c r="C11" t="s">
        <v>97</v>
      </c>
      <c r="D11" t="s">
        <v>97</v>
      </c>
      <c r="E11" t="s">
        <v>97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"/>
  <sheetViews>
    <sheetView zoomScaleNormal="100" workbookViewId="0">
      <selection activeCell="L11" sqref="L11"/>
    </sheetView>
  </sheetViews>
  <sheetFormatPr defaultColWidth="8.88671875" defaultRowHeight="14.4"/>
  <cols>
    <col min="8" max="8" width="11.44140625" customWidth="1"/>
    <col min="9" max="9" width="29.88671875" customWidth="1"/>
    <col min="10" max="10" width="34" customWidth="1"/>
    <col min="11" max="11" width="36.88671875" customWidth="1"/>
    <col min="12" max="12" width="13" customWidth="1"/>
  </cols>
  <sheetData>
    <row r="1" spans="1:12">
      <c r="A1" t="s">
        <v>66</v>
      </c>
      <c r="B1" t="s">
        <v>67</v>
      </c>
      <c r="C1" t="s">
        <v>68</v>
      </c>
      <c r="D1" t="s">
        <v>96</v>
      </c>
      <c r="E1" t="s">
        <v>70</v>
      </c>
      <c r="G1" t="s">
        <v>71</v>
      </c>
      <c r="H1" t="s">
        <v>81</v>
      </c>
      <c r="I1" t="s">
        <v>73</v>
      </c>
      <c r="J1" t="s">
        <v>74</v>
      </c>
      <c r="K1" t="s">
        <v>75</v>
      </c>
      <c r="L1" t="s">
        <v>76</v>
      </c>
    </row>
    <row r="2" spans="1:12">
      <c r="A2">
        <v>1</v>
      </c>
      <c r="B2" t="s">
        <v>98</v>
      </c>
      <c r="C2" t="s">
        <v>90</v>
      </c>
      <c r="D2">
        <v>69.86</v>
      </c>
      <c r="E2">
        <v>1.68</v>
      </c>
      <c r="H2">
        <v>3</v>
      </c>
      <c r="I2" t="s">
        <v>99</v>
      </c>
      <c r="L2">
        <v>0</v>
      </c>
    </row>
    <row r="3" spans="1:12">
      <c r="A3">
        <v>2</v>
      </c>
      <c r="B3" t="s">
        <v>98</v>
      </c>
      <c r="C3" t="s">
        <v>78</v>
      </c>
      <c r="D3">
        <v>66.680000000000007</v>
      </c>
      <c r="E3">
        <v>1.7</v>
      </c>
      <c r="H3">
        <v>4</v>
      </c>
      <c r="I3" t="s">
        <v>100</v>
      </c>
      <c r="L3">
        <v>3</v>
      </c>
    </row>
    <row r="4" spans="1:12">
      <c r="A4">
        <v>3</v>
      </c>
      <c r="B4" t="s">
        <v>98</v>
      </c>
      <c r="C4" t="s">
        <v>90</v>
      </c>
      <c r="D4">
        <v>53.07</v>
      </c>
      <c r="E4">
        <v>1.59</v>
      </c>
      <c r="H4">
        <v>3</v>
      </c>
      <c r="I4" t="s">
        <v>101</v>
      </c>
    </row>
    <row r="5" spans="1:12">
      <c r="A5">
        <v>4</v>
      </c>
      <c r="B5" t="s">
        <v>98</v>
      </c>
      <c r="C5" t="s">
        <v>78</v>
      </c>
      <c r="D5">
        <v>71.67</v>
      </c>
      <c r="E5">
        <v>1.82</v>
      </c>
      <c r="H5">
        <v>2</v>
      </c>
    </row>
    <row r="6" spans="1:12">
      <c r="A6">
        <v>5</v>
      </c>
      <c r="B6" t="s">
        <v>98</v>
      </c>
      <c r="C6" t="s">
        <v>78</v>
      </c>
      <c r="D6">
        <v>90.7</v>
      </c>
      <c r="E6">
        <v>1.95</v>
      </c>
      <c r="H6">
        <v>3</v>
      </c>
    </row>
    <row r="7" spans="1:12">
      <c r="A7">
        <v>6</v>
      </c>
      <c r="B7" t="s">
        <v>98</v>
      </c>
      <c r="C7" t="s">
        <v>90</v>
      </c>
      <c r="D7">
        <v>48.99</v>
      </c>
      <c r="E7">
        <v>1.53</v>
      </c>
      <c r="H7">
        <v>3</v>
      </c>
    </row>
    <row r="8" spans="1:12">
      <c r="A8">
        <v>7</v>
      </c>
      <c r="B8" t="s">
        <v>98</v>
      </c>
      <c r="C8" t="s">
        <v>90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OtherDBs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13</cp:revision>
  <dcterms:created xsi:type="dcterms:W3CDTF">2015-06-05T18:17:20Z</dcterms:created>
  <dcterms:modified xsi:type="dcterms:W3CDTF">2026-07-21T13:25:09Z</dcterms:modified>
  <dc:language>en-US</dc:language>
</cp:coreProperties>
</file>