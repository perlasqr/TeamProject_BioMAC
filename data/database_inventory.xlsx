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E090A3D7-8968-4926-9F35-EF4FB270876D}" xr6:coauthVersionLast="47" xr6:coauthVersionMax="47" xr10:uidLastSave="{00000000-0000-0000-0000-000000000000}"/>
  <bookViews>
    <workbookView xWindow="11424" yWindow="0" windowWidth="11712" windowHeight="12336" tabRatio="500" firstSheet="1" activeTab="3" xr2:uid="{00000000-000D-0000-FFFF-FFFF00000000}"/>
  </bookViews>
  <sheets>
    <sheet name="Main" sheetId="1" r:id="rId1"/>
    <sheet name="DB1" sheetId="2" r:id="rId2"/>
    <sheet name="DB2" sheetId="3" r:id="rId3"/>
    <sheet name="DB3" sheetId="6" r:id="rId4"/>
    <sheet name="DB4" sheetId="7" r:id="rId5"/>
    <sheet name="DB Grouvel" sheetId="4" r:id="rId6"/>
    <sheet name="DB Han" sheetId="5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5" l="1"/>
  <c r="H12" i="4"/>
  <c r="H15" i="3"/>
  <c r="H52" i="2"/>
</calcChain>
</file>

<file path=xl/sharedStrings.xml><?xml version="1.0" encoding="utf-8"?>
<sst xmlns="http://schemas.openxmlformats.org/spreadsheetml/2006/main" count="280" uniqueCount="95">
  <si>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</si>
  <si>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</si>
  <si>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</si>
  <si>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</si>
  <si>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</si>
  <si>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</si>
  <si>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</si>
  <si>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</si>
  <si>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</si>
  <si>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</si>
  <si>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</si>
  <si>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</si>
  <si>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</si>
  <si>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</si>
  <si>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</si>
  <si>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</si>
  <si>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</si>
  <si>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Wang</t>
  </si>
  <si>
    <t>Dataset of walking and running biomechanics with different step widths across different speeds</t>
  </si>
  <si>
    <t>Overground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</si>
  <si>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</si>
  <si>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</si>
  <si>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</si>
  <si>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</si>
  <si>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</si>
  <si>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Grouvel</t>
  </si>
  <si>
    <t>A dataset of asymptomatic human gait and movements obtained from markers, IMUs, insoles and force plates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</si>
  <si>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</si>
  <si>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</si>
  <si>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</si>
  <si>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</si>
  <si>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</si>
  <si>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</si>
  <si>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</si>
  <si>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Preferred / self-selected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</si>
  <si>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</si>
  <si>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</si>
  <si>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</si>
  <si>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</si>
  <si>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</si>
  <si>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</si>
  <si>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</si>
  <si>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</si>
  <si>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</si>
  <si>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</si>
  <si>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</si>
  <si>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</si>
  <si>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</si>
  <si>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</si>
  <si>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</si>
  <si>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</si>
  <si>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</si>
  <si>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</si>
  <si>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</si>
  <si>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</si>
  <si>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</si>
  <si>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</si>
  <si>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 xml:space="preserve">Participant </t>
  </si>
  <si>
    <t>Age</t>
  </si>
  <si>
    <t>Gender</t>
  </si>
  <si>
    <t>Weight (kg)</t>
  </si>
  <si>
    <t>Height (m)</t>
  </si>
  <si>
    <t>Calib pose</t>
  </si>
  <si>
    <t xml:space="preserve">Usable trials </t>
  </si>
  <si>
    <t>M</t>
  </si>
  <si>
    <t>T04_Cal_relabeled (missing GRF)</t>
  </si>
  <si>
    <t>NA</t>
  </si>
  <si>
    <t>na</t>
  </si>
  <si>
    <t>F</t>
  </si>
  <si>
    <t>1:3 (No ID)</t>
  </si>
  <si>
    <t>T02_-130 (MarkerFitterError)</t>
  </si>
  <si>
    <t>No ID</t>
  </si>
  <si>
    <t>Preferred &amp; step widths</t>
  </si>
  <si>
    <t>Multiple speeds: slow gait, comfortable gait, fast gait</t>
  </si>
  <si>
    <t>A multimodal dataset of human gait at different walking speeds established on injury-free adult participants</t>
  </si>
  <si>
    <t>Schreiber &amp; Moissenet</t>
  </si>
  <si>
    <t>19-67</t>
  </si>
  <si>
    <t>1.74 ± 0.09 m</t>
  </si>
  <si>
    <r>
      <t xml:space="preserve">71.0 </t>
    </r>
    <r>
      <rPr>
        <sz val="9"/>
        <color theme="1"/>
        <rFont val="EuclidSymbol"/>
      </rPr>
      <t xml:space="preserve">± </t>
    </r>
    <r>
      <rPr>
        <sz val="9"/>
        <color theme="1"/>
        <rFont val="MinionPro"/>
      </rPr>
      <t xml:space="preserve">12.3 kg </t>
    </r>
  </si>
  <si>
    <t>5 trials each with 5 different speeds</t>
  </si>
  <si>
    <t>Luxembourg</t>
  </si>
  <si>
    <t xml:space="preserve">52 reflective markers </t>
  </si>
  <si>
    <t>https://figshare.com/articles/dataset/A_multimodal_dataset_of_human_gait_at_different_walking_speeds/7734767</t>
  </si>
  <si>
    <t>W</t>
  </si>
  <si>
    <t>4 (1st half No ID, 2nd half wrong)</t>
  </si>
  <si>
    <t>3-all ('LoadingError'), 4 in total</t>
  </si>
  <si>
    <t>Walk trials C4-C5 (files)</t>
  </si>
  <si>
    <t>Walk trials C1-C3 (files)</t>
  </si>
  <si>
    <t>0–0.4 m.s−1 (C1), 0.4–0.8 m.s−1 (C2), 0.8–1.2 m.s−1 (C3). Self-selected spontaneous (C4) and fast (C5)</t>
  </si>
  <si>
    <t>Wrong trials - processing (reason)</t>
  </si>
  <si>
    <t>Wrong trials - visual inspection (reason)</t>
  </si>
  <si>
    <t>Excluded trials (reason: speed / step-width)</t>
  </si>
  <si>
    <t xml:space="preserve">Walk trials </t>
  </si>
  <si>
    <t>Simonlehner</t>
  </si>
  <si>
    <t>"ID not run" for the 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</si>
</sst>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9"/>
      <color theme="1"/>
      <name val="MinionPro"/>
    </font>
    <font>
      <sz val="9"/>
      <color theme="1"/>
      <name val="EuclidSymbol"/>
    </font>
    <font>
      <b/>
      <sz val="12"/>
      <color theme="1"/>
      <name val="Calibri"/>
      <family val="2"/>
    </font>
    <font>
      <sz val="10"/>
      <color theme="1"/>
      <name val="Arial Unicode MS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4" fillId="0" borderId="0" xfId="2" applyAlignment="1">
      <alignment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8" fillId="0" borderId="0" xfId="0" applyFont="1"/>
    <xf numFmtId="0" fontId="9" fillId="0" borderId="0" xfId="0" applyFont="1"/>
    <xf numFmtId="0" fontId="0" fillId="2" borderId="0" xfId="0" applyFill="1"/>
  </cellXfs>
  <cellStyles count="3">
    <cellStyle name="Hyperlink" xfId="2" builtinId="8"/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gshare.com/articles/dataset/A_multimodal_dataset_of_human_gait_at_different_walking_speeds/7734767" TargetMode="External"/><Relationship Id="rId3" Type="http://schemas.openxmlformats.org/officeDocument/2006/relationships/hyperlink" Target="https://csr.bu.edu/groundlink/" TargetMode="External"/><Relationship Id="rId7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2" Type="http://schemas.openxmlformats.org/officeDocument/2006/relationships/hyperlink" Target="https://www.nature.com/articles/s41597-023-02077-3" TargetMode="External"/><Relationship Id="rId1" Type="http://schemas.openxmlformats.org/officeDocument/2006/relationships/hyperlink" Target="https://www.nature.com/articles/s41597-025-05113-6" TargetMode="External"/><Relationship Id="rId6" Type="http://schemas.openxmlformats.org/officeDocument/2006/relationships/hyperlink" Target="https://www.nature.com/articles/s41597-025-06535-y" TargetMode="External"/><Relationship Id="rId5" Type="http://schemas.openxmlformats.org/officeDocument/2006/relationships/hyperlink" Target="https://arxiv.org/abs/2504.14602" TargetMode="External"/><Relationship Id="rId4" Type="http://schemas.openxmlformats.org/officeDocument/2006/relationships/hyperlink" Target="https://dl.acm.org/doi/epdf/10.1145/3610548.36182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100" workbookViewId="0">
      <pane ySplit="1" topLeftCell="A2" activePane="bottomLeft" state="frozen"/>
      <selection pane="bottomLeft" activeCell="C9" sqref="C9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5" customFormat="1" ht="15.6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6" t="s">
        <v>16</v>
      </c>
    </row>
    <row r="2" spans="1:18" ht="72">
      <c r="A2">
        <v>1</v>
      </c>
      <c r="B2" s="1" t="s">
        <v>75</v>
      </c>
      <c r="C2">
        <v>2019</v>
      </c>
      <c r="D2" s="1" t="s">
        <v>74</v>
      </c>
      <c r="E2" t="s">
        <v>19</v>
      </c>
      <c r="F2" s="1" t="s">
        <v>88</v>
      </c>
      <c r="G2">
        <v>50</v>
      </c>
      <c r="H2">
        <v>24</v>
      </c>
      <c r="I2">
        <v>26</v>
      </c>
      <c r="J2" t="s">
        <v>76</v>
      </c>
      <c r="K2" t="s">
        <v>77</v>
      </c>
      <c r="L2" t="s">
        <v>78</v>
      </c>
      <c r="M2" t="s">
        <v>80</v>
      </c>
      <c r="N2" t="s">
        <v>79</v>
      </c>
      <c r="O2" t="s">
        <v>81</v>
      </c>
      <c r="P2">
        <v>2</v>
      </c>
      <c r="Q2" s="4" t="s">
        <v>82</v>
      </c>
    </row>
    <row r="3" spans="1:18" ht="43.2">
      <c r="A3">
        <v>2</v>
      </c>
      <c r="B3" s="1" t="s">
        <v>17</v>
      </c>
      <c r="C3">
        <v>2025</v>
      </c>
      <c r="D3" s="1" t="s">
        <v>18</v>
      </c>
      <c r="E3" t="s">
        <v>19</v>
      </c>
      <c r="F3" s="1" t="s">
        <v>72</v>
      </c>
      <c r="G3">
        <v>13</v>
      </c>
      <c r="H3" s="1">
        <v>0</v>
      </c>
      <c r="I3" s="1">
        <v>13</v>
      </c>
      <c r="J3" t="s">
        <v>20</v>
      </c>
      <c r="K3" t="s">
        <v>21</v>
      </c>
      <c r="L3" t="s">
        <v>22</v>
      </c>
      <c r="O3" s="1" t="s">
        <v>23</v>
      </c>
      <c r="R3" s="1" t="s">
        <v>24</v>
      </c>
    </row>
    <row r="4" spans="1:18">
      <c r="A4" s="9">
        <v>3</v>
      </c>
      <c r="B4" s="1" t="s">
        <v>93</v>
      </c>
    </row>
    <row r="5" spans="1:18">
      <c r="A5" s="9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40</v>
      </c>
      <c r="C9">
        <v>2025</v>
      </c>
      <c r="D9" s="1" t="s">
        <v>41</v>
      </c>
      <c r="E9" s="1" t="s">
        <v>42</v>
      </c>
      <c r="F9" s="1" t="s">
        <v>43</v>
      </c>
      <c r="G9" s="1">
        <v>30</v>
      </c>
      <c r="H9" s="1">
        <v>10</v>
      </c>
      <c r="I9" s="1">
        <v>20</v>
      </c>
      <c r="R9" t="s">
        <v>44</v>
      </c>
    </row>
    <row r="10" spans="1:18" ht="43.2">
      <c r="B10" s="1" t="s">
        <v>45</v>
      </c>
      <c r="C10">
        <v>2026</v>
      </c>
      <c r="D10" s="1" t="s">
        <v>46</v>
      </c>
      <c r="E10" s="1" t="s">
        <v>47</v>
      </c>
      <c r="F10" s="1" t="s">
        <v>34</v>
      </c>
      <c r="G10" s="1">
        <v>13</v>
      </c>
      <c r="H10" s="1">
        <v>5</v>
      </c>
      <c r="I10" s="1">
        <v>8</v>
      </c>
      <c r="R10" s="1" t="s">
        <v>48</v>
      </c>
    </row>
    <row r="11" spans="1:18" ht="82.5" customHeight="1">
      <c r="B11" s="1" t="s">
        <v>49</v>
      </c>
      <c r="C11">
        <v>2024</v>
      </c>
      <c r="D11" s="1" t="s">
        <v>50</v>
      </c>
      <c r="E11" t="s">
        <v>51</v>
      </c>
      <c r="F11" s="1" t="s">
        <v>52</v>
      </c>
      <c r="G11" s="1">
        <v>30</v>
      </c>
      <c r="H11" s="1">
        <v>14</v>
      </c>
      <c r="I11" s="1">
        <v>16</v>
      </c>
      <c r="J11" t="s">
        <v>53</v>
      </c>
      <c r="K11" s="1" t="s">
        <v>54</v>
      </c>
      <c r="L11" s="3" t="s">
        <v>55</v>
      </c>
      <c r="R11" s="1" t="s">
        <v>56</v>
      </c>
    </row>
    <row r="12" spans="1:18" ht="46.8">
      <c r="B12" s="1" t="s">
        <v>25</v>
      </c>
      <c r="C12">
        <v>2023</v>
      </c>
      <c r="D12" s="1" t="s">
        <v>26</v>
      </c>
      <c r="E12" t="s">
        <v>19</v>
      </c>
      <c r="F12" s="1" t="s">
        <v>73</v>
      </c>
      <c r="G12" s="1">
        <v>10</v>
      </c>
      <c r="H12" s="1">
        <v>4</v>
      </c>
      <c r="I12" s="1">
        <v>6</v>
      </c>
      <c r="J12" s="1" t="s">
        <v>27</v>
      </c>
      <c r="K12" s="2" t="s">
        <v>28</v>
      </c>
      <c r="L12" s="2" t="s">
        <v>29</v>
      </c>
      <c r="O12" s="1" t="s">
        <v>30</v>
      </c>
      <c r="R12" s="4" t="s">
        <v>31</v>
      </c>
    </row>
    <row r="13" spans="1:18" ht="43.2">
      <c r="B13" s="1" t="s">
        <v>32</v>
      </c>
      <c r="C13">
        <v>2023</v>
      </c>
      <c r="D13" s="1" t="s">
        <v>33</v>
      </c>
      <c r="E13" s="1" t="s">
        <v>19</v>
      </c>
      <c r="F13" s="1" t="s">
        <v>34</v>
      </c>
      <c r="G13" s="1">
        <v>7</v>
      </c>
      <c r="H13" s="1">
        <v>4</v>
      </c>
      <c r="I13" s="1">
        <v>3</v>
      </c>
      <c r="J13" t="s">
        <v>35</v>
      </c>
      <c r="K13" t="s">
        <v>36</v>
      </c>
      <c r="L13" t="s">
        <v>37</v>
      </c>
      <c r="O13" s="1">
        <v>96</v>
      </c>
      <c r="Q13" s="1" t="s">
        <v>38</v>
      </c>
      <c r="R13" s="1" t="s">
        <v>39</v>
      </c>
    </row>
  </sheetData>
  <hyperlinks>
    <hyperlink ref="R3" r:id="rId1" xr:uid="{00000000-0004-0000-0000-000000000000}"/>
    <hyperlink ref="R12" r:id="rId2" xr:uid="{00000000-0004-0000-0000-000001000000}"/>
    <hyperlink ref="Q13" r:id="rId3" xr:uid="{00000000-0004-0000-0000-000002000000}"/>
    <hyperlink ref="R13" r:id="rId4" xr:uid="{00000000-0004-0000-0000-000003000000}"/>
    <hyperlink ref="R9" r:id="rId5" xr:uid="{00000000-0004-0000-0000-000004000000}"/>
    <hyperlink ref="R10" r:id="rId6" location="Bib1" xr:uid="{00000000-0004-0000-0000-000005000000}"/>
    <hyperlink ref="R11" r:id="rId7" xr:uid="{00000000-0004-0000-0000-000006000000}"/>
    <hyperlink ref="Q2" r:id="rId8" xr:uid="{44AB234F-BA16-4A5C-A6A5-B63142A430E8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100" workbookViewId="0">
      <selection activeCell="I2" sqref="I2"/>
    </sheetView>
  </sheetViews>
  <sheetFormatPr defaultColWidth="8.77734375" defaultRowHeight="14.4"/>
  <cols>
    <col min="1" max="1" width="10.218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88671875" customWidth="1"/>
    <col min="8" max="8" width="16.6640625" customWidth="1"/>
    <col min="9" max="9" width="17" customWidth="1"/>
    <col min="10" max="10" width="16.77734375" customWidth="1"/>
    <col min="11" max="11" width="13" customWidth="1"/>
    <col min="12" max="12" width="9.33203125" customWidth="1"/>
    <col min="13" max="13" width="8.77734375" customWidth="1"/>
    <col min="16" max="16" width="16.6640625" customWidth="1"/>
  </cols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  <row r="2" spans="1:16">
      <c r="A2">
        <v>1</v>
      </c>
      <c r="B2">
        <v>31</v>
      </c>
      <c r="C2" s="7" t="s">
        <v>64</v>
      </c>
      <c r="D2">
        <v>67</v>
      </c>
      <c r="E2">
        <v>1.66</v>
      </c>
      <c r="G2">
        <v>1</v>
      </c>
      <c r="H2">
        <v>15</v>
      </c>
      <c r="I2" t="s">
        <v>94</v>
      </c>
      <c r="L2">
        <v>8</v>
      </c>
      <c r="P2">
        <v>10</v>
      </c>
    </row>
    <row r="3" spans="1:16">
      <c r="A3">
        <v>2</v>
      </c>
      <c r="B3">
        <v>48</v>
      </c>
      <c r="C3" s="7" t="s">
        <v>83</v>
      </c>
      <c r="D3">
        <v>65.400000000000006</v>
      </c>
      <c r="E3">
        <v>1.64</v>
      </c>
      <c r="G3">
        <v>1</v>
      </c>
      <c r="H3">
        <v>11</v>
      </c>
      <c r="I3" t="s">
        <v>94</v>
      </c>
      <c r="L3">
        <v>4</v>
      </c>
      <c r="P3">
        <v>9</v>
      </c>
    </row>
    <row r="4" spans="1:16">
      <c r="A4">
        <v>3</v>
      </c>
      <c r="B4">
        <v>28</v>
      </c>
      <c r="C4" s="7" t="s">
        <v>83</v>
      </c>
      <c r="D4">
        <v>50</v>
      </c>
      <c r="E4">
        <v>1.56</v>
      </c>
      <c r="G4">
        <v>1</v>
      </c>
      <c r="H4">
        <v>13</v>
      </c>
      <c r="I4" t="s">
        <v>94</v>
      </c>
      <c r="L4">
        <v>1</v>
      </c>
      <c r="P4">
        <v>9</v>
      </c>
    </row>
    <row r="5" spans="1:16">
      <c r="A5">
        <v>4</v>
      </c>
      <c r="B5">
        <v>23</v>
      </c>
      <c r="C5" s="7" t="s">
        <v>64</v>
      </c>
      <c r="D5">
        <v>72.5</v>
      </c>
      <c r="E5">
        <v>1.77</v>
      </c>
      <c r="G5">
        <v>1</v>
      </c>
      <c r="H5">
        <v>14</v>
      </c>
      <c r="I5" t="s">
        <v>94</v>
      </c>
      <c r="L5">
        <v>6</v>
      </c>
      <c r="P5">
        <v>9</v>
      </c>
    </row>
    <row r="6" spans="1:16">
      <c r="A6">
        <v>5</v>
      </c>
      <c r="B6">
        <v>25</v>
      </c>
      <c r="C6" s="7" t="s">
        <v>64</v>
      </c>
      <c r="D6">
        <v>73.5</v>
      </c>
      <c r="E6">
        <v>1.83</v>
      </c>
      <c r="G6">
        <v>0</v>
      </c>
      <c r="H6">
        <v>15</v>
      </c>
      <c r="I6" t="s">
        <v>94</v>
      </c>
      <c r="L6">
        <v>6</v>
      </c>
      <c r="P6">
        <v>10</v>
      </c>
    </row>
    <row r="7" spans="1:16">
      <c r="A7">
        <v>6</v>
      </c>
      <c r="B7">
        <v>23</v>
      </c>
      <c r="C7" s="7" t="s">
        <v>64</v>
      </c>
      <c r="D7">
        <v>73</v>
      </c>
      <c r="E7">
        <v>1.76</v>
      </c>
      <c r="G7">
        <v>1</v>
      </c>
      <c r="H7">
        <v>13</v>
      </c>
      <c r="I7" t="s">
        <v>94</v>
      </c>
      <c r="L7">
        <v>8</v>
      </c>
      <c r="P7">
        <v>9</v>
      </c>
    </row>
    <row r="8" spans="1:16">
      <c r="A8">
        <v>7</v>
      </c>
      <c r="B8">
        <v>44</v>
      </c>
      <c r="C8" s="7" t="s">
        <v>83</v>
      </c>
      <c r="D8">
        <v>65</v>
      </c>
      <c r="E8">
        <v>1.69</v>
      </c>
      <c r="G8">
        <v>1</v>
      </c>
      <c r="H8">
        <v>14</v>
      </c>
      <c r="I8" t="s">
        <v>94</v>
      </c>
      <c r="L8">
        <v>4</v>
      </c>
      <c r="P8">
        <v>9</v>
      </c>
    </row>
    <row r="9" spans="1:16">
      <c r="A9">
        <v>8</v>
      </c>
      <c r="B9">
        <v>30</v>
      </c>
      <c r="C9" s="7" t="s">
        <v>83</v>
      </c>
      <c r="D9">
        <v>57.1</v>
      </c>
      <c r="E9">
        <v>1.66</v>
      </c>
      <c r="G9">
        <v>0</v>
      </c>
      <c r="H9">
        <v>15</v>
      </c>
      <c r="I9" t="s">
        <v>94</v>
      </c>
      <c r="L9">
        <v>9</v>
      </c>
      <c r="P9">
        <v>10</v>
      </c>
    </row>
    <row r="10" spans="1:16">
      <c r="A10">
        <v>9</v>
      </c>
      <c r="B10">
        <v>57</v>
      </c>
      <c r="C10" s="7" t="s">
        <v>64</v>
      </c>
      <c r="D10">
        <v>86</v>
      </c>
      <c r="E10">
        <v>1.88</v>
      </c>
      <c r="G10">
        <v>0</v>
      </c>
      <c r="H10">
        <v>15</v>
      </c>
      <c r="I10" t="s">
        <v>94</v>
      </c>
      <c r="L10">
        <v>9</v>
      </c>
      <c r="P10">
        <v>10</v>
      </c>
    </row>
    <row r="11" spans="1:16">
      <c r="A11">
        <v>10</v>
      </c>
      <c r="B11">
        <v>59</v>
      </c>
      <c r="C11" s="7" t="s">
        <v>64</v>
      </c>
      <c r="D11">
        <v>63.4</v>
      </c>
      <c r="E11">
        <v>1.8</v>
      </c>
      <c r="G11">
        <v>1</v>
      </c>
      <c r="H11">
        <v>13</v>
      </c>
      <c r="I11" t="s">
        <v>94</v>
      </c>
      <c r="L11">
        <v>4</v>
      </c>
      <c r="P11">
        <v>9</v>
      </c>
    </row>
    <row r="12" spans="1:16">
      <c r="A12">
        <v>11</v>
      </c>
      <c r="B12">
        <v>26</v>
      </c>
      <c r="C12" s="7" t="s">
        <v>83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>
      <c r="A13">
        <v>12</v>
      </c>
      <c r="B13">
        <v>29</v>
      </c>
      <c r="C13" s="7" t="s">
        <v>64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>
      <c r="A14">
        <v>13</v>
      </c>
      <c r="B14">
        <v>22</v>
      </c>
      <c r="C14" s="7" t="s">
        <v>83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>
      <c r="A15">
        <v>14</v>
      </c>
      <c r="B15">
        <v>26</v>
      </c>
      <c r="C15" s="7" t="s">
        <v>83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>
      <c r="A16">
        <v>15</v>
      </c>
      <c r="B16">
        <v>48</v>
      </c>
      <c r="C16" s="7" t="s">
        <v>83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>
      <c r="A17">
        <v>16</v>
      </c>
      <c r="B17">
        <v>33</v>
      </c>
      <c r="C17" s="7" t="s">
        <v>64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>
      <c r="A18">
        <v>17</v>
      </c>
      <c r="B18">
        <v>31</v>
      </c>
      <c r="C18" s="7" t="s">
        <v>83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>
      <c r="A19">
        <v>18</v>
      </c>
      <c r="B19">
        <v>38</v>
      </c>
      <c r="C19" s="7" t="s">
        <v>64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>
      <c r="A20">
        <v>19</v>
      </c>
      <c r="B20">
        <v>62</v>
      </c>
      <c r="C20" s="7" t="s">
        <v>83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>
      <c r="A21">
        <v>20</v>
      </c>
      <c r="B21">
        <v>21</v>
      </c>
      <c r="C21" s="7" t="s">
        <v>64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>
      <c r="A22">
        <v>21</v>
      </c>
      <c r="B22">
        <v>24</v>
      </c>
      <c r="C22" s="7" t="s">
        <v>83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7" t="s">
        <v>64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7" t="s">
        <v>83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7" t="s">
        <v>83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7" t="s">
        <v>83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7" t="s">
        <v>64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7" t="s">
        <v>83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7" t="s">
        <v>64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7" t="s">
        <v>64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7" t="s">
        <v>83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7" t="s">
        <v>64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7" t="s">
        <v>64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7" t="s">
        <v>83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7" t="s">
        <v>64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7" t="s">
        <v>83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7" t="s">
        <v>83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7" t="s">
        <v>83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7" t="s">
        <v>83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7" t="s">
        <v>83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7" t="s">
        <v>64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7" t="s">
        <v>83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7" t="s">
        <v>83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7" t="s">
        <v>64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7" t="s">
        <v>64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7" t="s">
        <v>64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7" t="s">
        <v>64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7" t="s">
        <v>64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7" t="s">
        <v>64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7" t="s">
        <v>64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7" t="s">
        <v>64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8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110" workbookViewId="0">
      <selection activeCell="I2" sqref="I2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218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>
        <v>24</v>
      </c>
      <c r="C2" t="s">
        <v>64</v>
      </c>
      <c r="D2">
        <v>74</v>
      </c>
      <c r="E2">
        <v>175</v>
      </c>
      <c r="G2">
        <v>1</v>
      </c>
      <c r="H2">
        <v>21</v>
      </c>
      <c r="J2" t="s">
        <v>85</v>
      </c>
      <c r="L2">
        <v>17</v>
      </c>
    </row>
    <row r="3" spans="1:12">
      <c r="A3">
        <v>2</v>
      </c>
      <c r="B3">
        <v>24</v>
      </c>
      <c r="C3" t="s">
        <v>64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64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64</v>
      </c>
      <c r="D5">
        <v>60</v>
      </c>
      <c r="E5">
        <v>170</v>
      </c>
      <c r="G5">
        <v>1</v>
      </c>
      <c r="H5">
        <v>17</v>
      </c>
      <c r="J5" t="s">
        <v>70</v>
      </c>
    </row>
    <row r="6" spans="1:12">
      <c r="A6">
        <v>5</v>
      </c>
      <c r="B6">
        <v>21</v>
      </c>
      <c r="C6" t="s">
        <v>64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64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64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64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64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64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64</v>
      </c>
      <c r="D12">
        <v>75</v>
      </c>
      <c r="E12">
        <v>175</v>
      </c>
      <c r="G12">
        <v>1</v>
      </c>
      <c r="H12">
        <v>27</v>
      </c>
      <c r="J12" t="s">
        <v>65</v>
      </c>
    </row>
    <row r="13" spans="1:12">
      <c r="A13">
        <v>12</v>
      </c>
      <c r="B13">
        <v>24</v>
      </c>
      <c r="C13" t="s">
        <v>64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64</v>
      </c>
      <c r="D14">
        <v>58</v>
      </c>
      <c r="E14">
        <v>170</v>
      </c>
      <c r="G14">
        <v>1</v>
      </c>
      <c r="H14">
        <v>27</v>
      </c>
    </row>
    <row r="15" spans="1:12">
      <c r="H15" s="8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C62A-2ABA-4532-ADB0-E26CA60F7C0C}">
  <dimension ref="A1:P21"/>
  <sheetViews>
    <sheetView tabSelected="1" workbookViewId="0">
      <selection activeCell="H10" sqref="H10"/>
    </sheetView>
  </sheetViews>
  <sheetFormatPr defaultRowHeight="14.4"/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  <row r="2" spans="1:16">
      <c r="A2">
        <v>1</v>
      </c>
    </row>
    <row r="3" spans="1:16">
      <c r="A3">
        <v>2</v>
      </c>
    </row>
    <row r="4" spans="1:16">
      <c r="A4">
        <v>3</v>
      </c>
    </row>
    <row r="5" spans="1:16">
      <c r="A5">
        <v>4</v>
      </c>
    </row>
    <row r="6" spans="1:16">
      <c r="A6">
        <v>5</v>
      </c>
      <c r="B6">
        <v>29</v>
      </c>
      <c r="C6" t="s">
        <v>64</v>
      </c>
      <c r="D6">
        <v>61</v>
      </c>
      <c r="E6">
        <v>167</v>
      </c>
      <c r="G6">
        <v>2</v>
      </c>
      <c r="H6">
        <v>10</v>
      </c>
    </row>
    <row r="7" spans="1:16">
      <c r="A7">
        <v>6</v>
      </c>
      <c r="B7">
        <v>42</v>
      </c>
      <c r="C7" t="s">
        <v>64</v>
      </c>
      <c r="D7">
        <v>71.8</v>
      </c>
      <c r="E7">
        <v>174</v>
      </c>
      <c r="G7">
        <v>2</v>
      </c>
      <c r="H7">
        <v>10</v>
      </c>
    </row>
    <row r="8" spans="1:16">
      <c r="A8">
        <v>7</v>
      </c>
      <c r="B8">
        <v>38</v>
      </c>
      <c r="C8" t="s">
        <v>64</v>
      </c>
      <c r="D8">
        <v>100.5</v>
      </c>
      <c r="E8">
        <v>182</v>
      </c>
      <c r="G8">
        <v>2</v>
      </c>
      <c r="H8">
        <v>12</v>
      </c>
    </row>
    <row r="9" spans="1:16">
      <c r="A9">
        <v>8</v>
      </c>
      <c r="B9">
        <v>42</v>
      </c>
      <c r="C9" t="s">
        <v>83</v>
      </c>
      <c r="D9">
        <v>60.7</v>
      </c>
      <c r="E9">
        <v>165</v>
      </c>
      <c r="G9">
        <v>2</v>
      </c>
      <c r="H9">
        <v>10</v>
      </c>
    </row>
    <row r="10" spans="1:16">
      <c r="A10">
        <v>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</row>
    <row r="15" spans="1:16">
      <c r="A15">
        <v>14</v>
      </c>
    </row>
    <row r="16" spans="1:16">
      <c r="A16">
        <v>15</v>
      </c>
    </row>
    <row r="17" spans="1:1">
      <c r="A17">
        <v>16</v>
      </c>
    </row>
    <row r="18" spans="1:1">
      <c r="A18">
        <v>17</v>
      </c>
    </row>
    <row r="19" spans="1:1">
      <c r="A19">
        <v>18</v>
      </c>
    </row>
    <row r="20" spans="1:1">
      <c r="A20">
        <v>19</v>
      </c>
    </row>
    <row r="21" spans="1:1">
      <c r="A21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4500B-8BBC-4D8B-92B7-7498A6AEDFBA}">
  <dimension ref="A1:P1"/>
  <sheetViews>
    <sheetView workbookViewId="0">
      <selection sqref="A1:XFD1"/>
    </sheetView>
  </sheetViews>
  <sheetFormatPr defaultRowHeight="14.4"/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"/>
  <sheetViews>
    <sheetView zoomScaleNormal="100" workbookViewId="0">
      <selection activeCell="L10" sqref="L10"/>
    </sheetView>
  </sheetViews>
  <sheetFormatPr defaultColWidth="8.77734375" defaultRowHeight="14.4"/>
  <cols>
    <col min="8" max="8" width="10.88671875" customWidth="1"/>
    <col min="9" max="9" width="28.88671875" customWidth="1"/>
    <col min="10" max="10" width="33.21875" customWidth="1"/>
    <col min="11" max="11" width="36.6640625" customWidth="1"/>
    <col min="12" max="12" width="13.4414062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66</v>
      </c>
      <c r="C2" t="s">
        <v>66</v>
      </c>
      <c r="D2" t="s">
        <v>66</v>
      </c>
      <c r="E2" t="s">
        <v>66</v>
      </c>
      <c r="G2">
        <v>0</v>
      </c>
      <c r="H2">
        <v>18</v>
      </c>
    </row>
    <row r="3" spans="1:12">
      <c r="A3">
        <v>2</v>
      </c>
      <c r="B3" t="s">
        <v>66</v>
      </c>
      <c r="C3" t="s">
        <v>66</v>
      </c>
      <c r="D3" t="s">
        <v>66</v>
      </c>
      <c r="E3" t="s">
        <v>66</v>
      </c>
      <c r="G3">
        <v>0</v>
      </c>
      <c r="H3">
        <v>16</v>
      </c>
    </row>
    <row r="4" spans="1:12">
      <c r="A4">
        <v>3</v>
      </c>
      <c r="B4" t="s">
        <v>66</v>
      </c>
      <c r="C4" t="s">
        <v>66</v>
      </c>
      <c r="D4" t="s">
        <v>66</v>
      </c>
      <c r="E4" t="s">
        <v>66</v>
      </c>
      <c r="G4">
        <v>0</v>
      </c>
      <c r="H4">
        <v>12</v>
      </c>
    </row>
    <row r="5" spans="1:12">
      <c r="A5">
        <v>4</v>
      </c>
      <c r="B5" t="s">
        <v>66</v>
      </c>
      <c r="C5" t="s">
        <v>66</v>
      </c>
      <c r="D5" t="s">
        <v>66</v>
      </c>
      <c r="E5" t="s">
        <v>66</v>
      </c>
      <c r="G5">
        <v>0</v>
      </c>
      <c r="H5">
        <v>19</v>
      </c>
    </row>
    <row r="6" spans="1:12">
      <c r="A6">
        <v>5</v>
      </c>
      <c r="B6" t="s">
        <v>66</v>
      </c>
      <c r="C6" t="s">
        <v>66</v>
      </c>
      <c r="D6" t="s">
        <v>66</v>
      </c>
      <c r="E6" t="s">
        <v>66</v>
      </c>
      <c r="G6">
        <v>0</v>
      </c>
      <c r="H6">
        <v>19</v>
      </c>
    </row>
    <row r="7" spans="1:12">
      <c r="A7">
        <v>6</v>
      </c>
      <c r="B7" t="s">
        <v>66</v>
      </c>
      <c r="C7" t="s">
        <v>66</v>
      </c>
      <c r="D7" t="s">
        <v>66</v>
      </c>
      <c r="E7" t="s">
        <v>66</v>
      </c>
      <c r="G7">
        <v>0</v>
      </c>
      <c r="H7">
        <v>17</v>
      </c>
    </row>
    <row r="8" spans="1:12">
      <c r="A8">
        <v>7</v>
      </c>
      <c r="B8" t="s">
        <v>66</v>
      </c>
      <c r="C8" t="s">
        <v>66</v>
      </c>
      <c r="D8" t="s">
        <v>66</v>
      </c>
      <c r="E8" t="s">
        <v>66</v>
      </c>
      <c r="G8">
        <v>0</v>
      </c>
      <c r="H8">
        <v>15</v>
      </c>
      <c r="L8">
        <v>2</v>
      </c>
    </row>
    <row r="9" spans="1:12">
      <c r="A9">
        <v>8</v>
      </c>
      <c r="B9" t="s">
        <v>66</v>
      </c>
      <c r="C9" t="s">
        <v>66</v>
      </c>
      <c r="D9" t="s">
        <v>66</v>
      </c>
      <c r="E9" t="s">
        <v>66</v>
      </c>
      <c r="G9">
        <v>0</v>
      </c>
      <c r="H9">
        <v>15</v>
      </c>
      <c r="L9">
        <v>2</v>
      </c>
    </row>
    <row r="10" spans="1:12">
      <c r="A10">
        <v>9</v>
      </c>
      <c r="B10" t="s">
        <v>66</v>
      </c>
      <c r="C10" t="s">
        <v>66</v>
      </c>
      <c r="D10" t="s">
        <v>66</v>
      </c>
      <c r="E10" t="s">
        <v>66</v>
      </c>
      <c r="G10">
        <v>0</v>
      </c>
      <c r="H10">
        <v>19</v>
      </c>
    </row>
    <row r="11" spans="1:12">
      <c r="A11">
        <v>10</v>
      </c>
      <c r="B11" t="s">
        <v>66</v>
      </c>
      <c r="C11" t="s">
        <v>66</v>
      </c>
      <c r="D11" t="s">
        <v>66</v>
      </c>
      <c r="E11" t="s">
        <v>66</v>
      </c>
      <c r="G11">
        <v>0</v>
      </c>
      <c r="H11">
        <v>17</v>
      </c>
    </row>
    <row r="12" spans="1:12">
      <c r="H12" s="8">
        <f>SUM(H2:H11)</f>
        <v>167</v>
      </c>
    </row>
    <row r="13" spans="1:12">
      <c r="H1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"/>
  <sheetViews>
    <sheetView zoomScaleNormal="100" workbookViewId="0">
      <selection activeCell="L11" sqref="L11"/>
    </sheetView>
  </sheetViews>
  <sheetFormatPr defaultColWidth="8.77734375" defaultRowHeight="14.4"/>
  <cols>
    <col min="8" max="8" width="11.554687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67</v>
      </c>
      <c r="C2" t="s">
        <v>68</v>
      </c>
      <c r="D2">
        <v>69.86</v>
      </c>
      <c r="E2">
        <v>1.68</v>
      </c>
      <c r="H2">
        <v>3</v>
      </c>
      <c r="I2" t="s">
        <v>69</v>
      </c>
      <c r="L2">
        <v>0</v>
      </c>
    </row>
    <row r="3" spans="1:12">
      <c r="A3">
        <v>2</v>
      </c>
      <c r="B3" t="s">
        <v>67</v>
      </c>
      <c r="C3" t="s">
        <v>64</v>
      </c>
      <c r="D3">
        <v>66.680000000000007</v>
      </c>
      <c r="E3">
        <v>1.7</v>
      </c>
      <c r="H3">
        <v>4</v>
      </c>
      <c r="I3" t="s">
        <v>84</v>
      </c>
      <c r="L3">
        <v>3</v>
      </c>
    </row>
    <row r="4" spans="1:12">
      <c r="A4">
        <v>3</v>
      </c>
      <c r="B4" t="s">
        <v>67</v>
      </c>
      <c r="C4" t="s">
        <v>68</v>
      </c>
      <c r="D4">
        <v>53.07</v>
      </c>
      <c r="E4">
        <v>1.59</v>
      </c>
      <c r="H4">
        <v>3</v>
      </c>
      <c r="I4" t="s">
        <v>71</v>
      </c>
    </row>
    <row r="5" spans="1:12">
      <c r="A5">
        <v>4</v>
      </c>
      <c r="B5" t="s">
        <v>67</v>
      </c>
      <c r="C5" t="s">
        <v>64</v>
      </c>
      <c r="D5">
        <v>71.67</v>
      </c>
      <c r="E5">
        <v>1.82</v>
      </c>
      <c r="H5">
        <v>2</v>
      </c>
    </row>
    <row r="6" spans="1:12">
      <c r="A6">
        <v>5</v>
      </c>
      <c r="B6" t="s">
        <v>67</v>
      </c>
      <c r="C6" t="s">
        <v>64</v>
      </c>
      <c r="D6">
        <v>90.7</v>
      </c>
      <c r="E6">
        <v>1.95</v>
      </c>
      <c r="H6">
        <v>3</v>
      </c>
    </row>
    <row r="7" spans="1:12">
      <c r="A7">
        <v>6</v>
      </c>
      <c r="B7" t="s">
        <v>67</v>
      </c>
      <c r="C7" t="s">
        <v>68</v>
      </c>
      <c r="D7">
        <v>48.99</v>
      </c>
      <c r="E7">
        <v>1.53</v>
      </c>
      <c r="H7">
        <v>3</v>
      </c>
    </row>
    <row r="8" spans="1:12">
      <c r="A8">
        <v>7</v>
      </c>
      <c r="B8" t="s">
        <v>67</v>
      </c>
      <c r="C8" t="s">
        <v>68</v>
      </c>
      <c r="D8">
        <v>63.96</v>
      </c>
      <c r="E8">
        <v>1.75</v>
      </c>
      <c r="H8">
        <v>0</v>
      </c>
    </row>
    <row r="9" spans="1:12">
      <c r="H9" s="8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DB1</vt:lpstr>
      <vt:lpstr>DB2</vt:lpstr>
      <vt:lpstr>DB3</vt:lpstr>
      <vt:lpstr>DB4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11</cp:revision>
  <dcterms:created xsi:type="dcterms:W3CDTF">2015-06-05T18:17:20Z</dcterms:created>
  <dcterms:modified xsi:type="dcterms:W3CDTF">2026-06-03T14:18:36Z</dcterms:modified>
  <dc:language>en-US</dc:language>
</cp:coreProperties>
</file>