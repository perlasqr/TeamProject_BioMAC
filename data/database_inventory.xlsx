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DF8BC072-1C99-4149-884D-778F18DA6CE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1" i="2" l="1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<sst xmlns="http://schemas.openxmlformats.org/spreadsheetml/2006/main" count="149" uniqueCount="71">
  <si>
    <t>Database No.</t>
  </si>
  <si>
    <t>Related Paper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</si>
  <si>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</si>
  <si>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</si>
  <si>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</si>
  <si>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</si>
  <si>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</si>
  <si>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</si>
  <si>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</si>
  <si>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</si>
  <si>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</si>
  <si>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</si>
  <si>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</si>
  <si>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</si>
  <si>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</si>
  <si>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</si>
  <si>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</si>
  <si>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</si>
  <si>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</si>
  <si>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</si>
  <si>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</si>
  <si>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</si>
  <si>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</si>
  <si>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</si>
  <si>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</si>
  <si>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</si>
  <si>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Wang</t>
  </si>
  <si>
    <t>Dataset of walking and running biomechanics with different step widths across different speeds</t>
  </si>
  <si>
    <t>Overground</t>
  </si>
  <si>
    <t>Multiple speeds &amp; step widths</t>
  </si>
  <si>
    <t>20–25</t>
  </si>
  <si>
    <t>165-185 cm</t>
  </si>
  <si>
    <t>55-85 kg</t>
  </si>
  <si>
    <t>https://www.nature.com/articles/s41597-025-05113-6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</si>
  <si>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</si>
  <si>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</si>
  <si>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</si>
  <si>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</si>
  <si>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</si>
  <si>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</si>
  <si>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</si>
  <si>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</si>
  <si>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</si>
  <si>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</si>
  <si>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</si>
  <si>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</si>
  <si>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</si>
  <si>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</si>
  <si>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</si>
  <si>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</si>
  <si>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 xml:space="preserve">Participants </t>
  </si>
  <si>
    <t>Age</t>
  </si>
  <si>
    <t>Gender</t>
  </si>
  <si>
    <t>Weight (kg)</t>
  </si>
  <si>
    <t>Height</t>
  </si>
  <si>
    <t>F</t>
  </si>
  <si>
    <t>M</t>
  </si>
  <si>
    <t xml:space="preserve">Participant </t>
  </si>
  <si>
    <t>Weight</t>
  </si>
  <si>
    <t>Weight(kg)</t>
  </si>
  <si>
    <t>Height(m)</t>
  </si>
  <si>
    <t>na</t>
  </si>
  <si>
    <t>Height (mm)</t>
  </si>
  <si>
    <t>Han</t>
  </si>
  <si>
    <t>Grouvel</t>
  </si>
  <si>
    <t>Height (cm)</t>
  </si>
  <si>
    <t>Calib pose</t>
  </si>
  <si>
    <t>Walk trials (files)</t>
  </si>
  <si>
    <t xml:space="preserve">Usable Walk trials </t>
  </si>
  <si>
    <t>x</t>
  </si>
  <si>
    <t>Duration per trials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</si>
</sst>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97-025-06535-y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6" Type="http://schemas.openxmlformats.org/officeDocument/2006/relationships/hyperlink" Target="https://arxiv.org/abs/2504.14602" TargetMode="External"/><Relationship Id="rId5" Type="http://schemas.openxmlformats.org/officeDocument/2006/relationships/hyperlink" Target="https://dl.acm.org/doi/epdf/10.1145/3610548.3618247" TargetMode="External"/><Relationship Id="rId4" Type="http://schemas.openxmlformats.org/officeDocument/2006/relationships/hyperlink" Target="https://csr.bu.edu/groundlin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"/>
  <sheetViews>
    <sheetView zoomScaleNormal="100" workbookViewId="0">
      <selection activeCell="C7" sqref="C7"/>
    </sheetView>
  </sheetViews>
  <sheetFormatPr defaultColWidth="8.77734375" defaultRowHeight="14.4" x14ac:dyDescent="0.3"/>
  <cols>
    <col min="1" max="1" width="5.77734375" customWidth="1"/>
    <col min="2" max="2" width="17.77734375" customWidth="1"/>
    <col min="4" max="4" width="14.33203125" customWidth="1"/>
    <col min="5" max="5" width="33.88671875" customWidth="1"/>
    <col min="6" max="6" width="36" customWidth="1"/>
    <col min="7" max="7" width="23.6640625" customWidth="1"/>
    <col min="12" max="12" width="14.33203125" customWidth="1"/>
    <col min="13" max="13" width="12.6640625" customWidth="1"/>
    <col min="14" max="14" width="20" customWidth="1"/>
    <col min="15" max="15" width="28.44140625" customWidth="1"/>
    <col min="16" max="16" width="24.5546875" customWidth="1"/>
    <col min="17" max="17" width="20" customWidth="1"/>
    <col min="18" max="18" width="13" customWidth="1"/>
    <col min="19" max="19" width="29.8867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 ht="82.5" customHeight="1" x14ac:dyDescent="0.3">
      <c r="A2">
        <v>1</v>
      </c>
      <c r="C2" t="s">
        <v>18</v>
      </c>
      <c r="D2">
        <v>2024</v>
      </c>
      <c r="E2" s="1" t="s">
        <v>19</v>
      </c>
      <c r="F2" t="s">
        <v>20</v>
      </c>
      <c r="G2" t="s">
        <v>21</v>
      </c>
      <c r="H2" s="1">
        <v>30</v>
      </c>
      <c r="I2" s="1">
        <v>14</v>
      </c>
      <c r="J2" s="1">
        <v>16</v>
      </c>
      <c r="K2" t="s">
        <v>22</v>
      </c>
      <c r="L2" s="1" t="s">
        <v>23</v>
      </c>
      <c r="M2" s="2" t="s">
        <v>24</v>
      </c>
      <c r="S2" s="1" t="s">
        <v>25</v>
      </c>
    </row>
    <row r="3" spans="1:19" ht="43.2" x14ac:dyDescent="0.3">
      <c r="A3">
        <v>2</v>
      </c>
      <c r="C3" t="s">
        <v>26</v>
      </c>
      <c r="D3">
        <v>2025</v>
      </c>
      <c r="E3" s="1" t="s">
        <v>27</v>
      </c>
      <c r="F3" t="s">
        <v>28</v>
      </c>
      <c r="G3" s="1" t="s">
        <v>29</v>
      </c>
      <c r="H3">
        <v>13</v>
      </c>
      <c r="I3" s="1">
        <v>0</v>
      </c>
      <c r="J3" s="1">
        <v>13</v>
      </c>
      <c r="K3" t="s">
        <v>30</v>
      </c>
      <c r="L3" t="s">
        <v>31</v>
      </c>
      <c r="M3" t="s">
        <v>32</v>
      </c>
      <c r="S3" s="1" t="s">
        <v>33</v>
      </c>
    </row>
    <row r="4" spans="1:19" x14ac:dyDescent="0.3">
      <c r="A4">
        <v>3</v>
      </c>
      <c r="C4" t="s">
        <v>64</v>
      </c>
      <c r="E4" s="1"/>
      <c r="F4" s="1"/>
      <c r="G4" s="1"/>
      <c r="H4" s="1"/>
      <c r="I4" s="1"/>
      <c r="J4" s="1"/>
      <c r="S4" s="1"/>
    </row>
    <row r="5" spans="1:19" ht="43.2" x14ac:dyDescent="0.3">
      <c r="A5">
        <v>4</v>
      </c>
      <c r="C5" t="s">
        <v>63</v>
      </c>
      <c r="D5">
        <v>2023</v>
      </c>
      <c r="E5" s="1" t="s">
        <v>39</v>
      </c>
      <c r="F5" s="1" t="s">
        <v>28</v>
      </c>
      <c r="G5" s="1" t="s">
        <v>37</v>
      </c>
      <c r="H5" s="1">
        <v>7</v>
      </c>
      <c r="I5" s="1">
        <v>4</v>
      </c>
      <c r="J5" s="1">
        <v>3</v>
      </c>
      <c r="K5" t="s">
        <v>40</v>
      </c>
      <c r="L5" t="s">
        <v>41</v>
      </c>
      <c r="M5" t="s">
        <v>42</v>
      </c>
      <c r="R5" t="s">
        <v>43</v>
      </c>
      <c r="S5" s="1" t="s">
        <v>44</v>
      </c>
    </row>
    <row r="7" spans="1:19" x14ac:dyDescent="0.3">
      <c r="E7" s="1"/>
      <c r="F7" s="1"/>
      <c r="G7" s="1"/>
      <c r="H7" s="1"/>
      <c r="I7" s="1"/>
      <c r="J7" s="1"/>
      <c r="S7" s="1"/>
    </row>
    <row r="8" spans="1:19" x14ac:dyDescent="0.3">
      <c r="E8" s="1"/>
      <c r="F8" s="1"/>
      <c r="G8" s="1"/>
      <c r="H8" s="1"/>
      <c r="I8" s="1"/>
      <c r="J8" s="1"/>
      <c r="S8" s="1"/>
    </row>
    <row r="9" spans="1:19" ht="57.6" x14ac:dyDescent="0.3">
      <c r="C9" t="s">
        <v>45</v>
      </c>
      <c r="D9">
        <v>2025</v>
      </c>
      <c r="E9" s="1" t="s">
        <v>46</v>
      </c>
      <c r="F9" s="1" t="s">
        <v>47</v>
      </c>
      <c r="G9" s="1" t="s">
        <v>48</v>
      </c>
      <c r="H9" s="1">
        <v>30</v>
      </c>
      <c r="I9" s="1">
        <v>10</v>
      </c>
      <c r="J9" s="1">
        <v>20</v>
      </c>
      <c r="S9" t="s">
        <v>49</v>
      </c>
    </row>
    <row r="10" spans="1:19" ht="43.2" x14ac:dyDescent="0.3">
      <c r="C10" t="s">
        <v>34</v>
      </c>
      <c r="D10">
        <v>2026</v>
      </c>
      <c r="E10" s="1" t="s">
        <v>35</v>
      </c>
      <c r="F10" s="1" t="s">
        <v>36</v>
      </c>
      <c r="G10" s="1" t="s">
        <v>37</v>
      </c>
      <c r="H10" s="1">
        <v>13</v>
      </c>
      <c r="I10" s="1">
        <v>5</v>
      </c>
      <c r="J10" s="1">
        <v>8</v>
      </c>
      <c r="S10" s="1" t="s">
        <v>38</v>
      </c>
    </row>
  </sheetData>
  <hyperlinks>
    <hyperlink ref="S2" r:id="rId1" xr:uid="{00000000-0004-0000-0000-000000000000}"/>
    <hyperlink ref="S3" r:id="rId2" xr:uid="{00000000-0004-0000-0000-000001000000}"/>
    <hyperlink ref="S10" r:id="rId3" location="Bib1" xr:uid="{00000000-0004-0000-0000-000002000000}"/>
    <hyperlink ref="R5" r:id="rId4" xr:uid="{00000000-0004-0000-0000-000003000000}"/>
    <hyperlink ref="S5" r:id="rId5" xr:uid="{00000000-0004-0000-0000-000004000000}"/>
    <hyperlink ref="S9" r:id="rId6" xr:uid="{00000000-0004-0000-0000-000005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tabSelected="1" zoomScaleNormal="100" workbookViewId="0">
      <selection activeCell="G8" sqref="G8"/>
    </sheetView>
  </sheetViews>
  <sheetFormatPr defaultColWidth="8.77734375" defaultRowHeight="14.4" x14ac:dyDescent="0.3"/>
  <cols>
    <col min="1" max="1" width="11.77734375" customWidth="1"/>
    <col min="4" max="4" width="14.109375" customWidth="1"/>
    <col min="5" max="5" width="12.21875" customWidth="1"/>
    <col min="7" max="7" width="11.6640625" customWidth="1"/>
    <col min="8" max="8" width="14.6640625" customWidth="1"/>
    <col min="9" max="9" width="16.33203125" customWidth="1"/>
    <col min="10" max="10" width="16.77734375" customWidth="1"/>
  </cols>
  <sheetData>
    <row r="1" spans="1:10" x14ac:dyDescent="0.3">
      <c r="A1" t="s">
        <v>50</v>
      </c>
      <c r="B1" t="s">
        <v>51</v>
      </c>
      <c r="C1" t="s">
        <v>52</v>
      </c>
      <c r="D1" t="s">
        <v>53</v>
      </c>
      <c r="E1" t="s">
        <v>62</v>
      </c>
      <c r="G1" t="s">
        <v>66</v>
      </c>
      <c r="H1" t="s">
        <v>67</v>
      </c>
      <c r="I1" t="s">
        <v>68</v>
      </c>
      <c r="J1" t="s">
        <v>70</v>
      </c>
    </row>
    <row r="2" spans="1:10" x14ac:dyDescent="0.3">
      <c r="A2">
        <f t="shared" ref="A2:A31" si="0">ROW(A1)</f>
        <v>1</v>
      </c>
      <c r="B2">
        <v>24</v>
      </c>
      <c r="C2" t="s">
        <v>55</v>
      </c>
      <c r="D2">
        <v>53</v>
      </c>
      <c r="E2">
        <v>1590</v>
      </c>
    </row>
    <row r="3" spans="1:10" x14ac:dyDescent="0.3">
      <c r="A3">
        <f t="shared" si="0"/>
        <v>2</v>
      </c>
      <c r="B3">
        <v>36</v>
      </c>
      <c r="C3" t="s">
        <v>55</v>
      </c>
      <c r="D3">
        <v>58</v>
      </c>
      <c r="E3">
        <v>1730</v>
      </c>
    </row>
    <row r="4" spans="1:10" x14ac:dyDescent="0.3">
      <c r="A4">
        <f t="shared" si="0"/>
        <v>3</v>
      </c>
      <c r="B4">
        <v>22</v>
      </c>
      <c r="C4" t="s">
        <v>56</v>
      </c>
      <c r="D4">
        <v>61</v>
      </c>
      <c r="E4">
        <v>1700</v>
      </c>
    </row>
    <row r="5" spans="1:10" x14ac:dyDescent="0.3">
      <c r="A5">
        <f t="shared" si="0"/>
        <v>4</v>
      </c>
      <c r="B5">
        <v>30</v>
      </c>
      <c r="C5" t="s">
        <v>56</v>
      </c>
      <c r="D5">
        <v>81</v>
      </c>
      <c r="E5">
        <v>1870</v>
      </c>
    </row>
    <row r="6" spans="1:10" x14ac:dyDescent="0.3">
      <c r="A6">
        <f t="shared" si="0"/>
        <v>5</v>
      </c>
      <c r="B6">
        <v>26</v>
      </c>
      <c r="C6" t="s">
        <v>55</v>
      </c>
      <c r="D6">
        <v>63</v>
      </c>
      <c r="E6">
        <v>1640</v>
      </c>
    </row>
    <row r="7" spans="1:10" x14ac:dyDescent="0.3">
      <c r="A7">
        <f t="shared" si="0"/>
        <v>6</v>
      </c>
      <c r="B7">
        <v>29</v>
      </c>
      <c r="C7" t="s">
        <v>56</v>
      </c>
      <c r="D7">
        <v>63</v>
      </c>
      <c r="E7">
        <v>1830</v>
      </c>
    </row>
    <row r="8" spans="1:10" x14ac:dyDescent="0.3">
      <c r="A8">
        <f t="shared" si="0"/>
        <v>7</v>
      </c>
      <c r="B8">
        <v>23</v>
      </c>
      <c r="C8" t="s">
        <v>56</v>
      </c>
      <c r="D8">
        <v>79</v>
      </c>
      <c r="E8">
        <v>1840</v>
      </c>
    </row>
    <row r="9" spans="1:10" x14ac:dyDescent="0.3">
      <c r="A9">
        <f t="shared" si="0"/>
        <v>8</v>
      </c>
      <c r="B9">
        <v>21</v>
      </c>
      <c r="C9" t="s">
        <v>55</v>
      </c>
      <c r="D9">
        <v>60</v>
      </c>
      <c r="E9">
        <v>1700</v>
      </c>
    </row>
    <row r="10" spans="1:10" x14ac:dyDescent="0.3">
      <c r="A10">
        <f t="shared" si="0"/>
        <v>9</v>
      </c>
      <c r="B10">
        <v>33</v>
      </c>
      <c r="C10" t="s">
        <v>56</v>
      </c>
      <c r="D10">
        <v>71</v>
      </c>
      <c r="E10">
        <v>1820</v>
      </c>
    </row>
    <row r="11" spans="1:10" x14ac:dyDescent="0.3">
      <c r="A11">
        <f t="shared" si="0"/>
        <v>10</v>
      </c>
      <c r="B11">
        <v>23</v>
      </c>
      <c r="C11" t="s">
        <v>56</v>
      </c>
      <c r="D11">
        <v>74</v>
      </c>
      <c r="E11">
        <v>1740</v>
      </c>
    </row>
    <row r="12" spans="1:10" x14ac:dyDescent="0.3">
      <c r="A12">
        <f t="shared" si="0"/>
        <v>11</v>
      </c>
      <c r="B12">
        <v>31</v>
      </c>
      <c r="C12" t="s">
        <v>55</v>
      </c>
      <c r="D12">
        <v>56</v>
      </c>
      <c r="E12">
        <v>1630</v>
      </c>
    </row>
    <row r="13" spans="1:10" x14ac:dyDescent="0.3">
      <c r="A13">
        <f t="shared" si="0"/>
        <v>12</v>
      </c>
      <c r="B13">
        <v>35</v>
      </c>
      <c r="C13" t="s">
        <v>55</v>
      </c>
      <c r="D13">
        <v>48</v>
      </c>
      <c r="E13">
        <v>1590</v>
      </c>
    </row>
    <row r="14" spans="1:10" x14ac:dyDescent="0.3">
      <c r="A14">
        <f t="shared" si="0"/>
        <v>13</v>
      </c>
      <c r="B14">
        <v>34</v>
      </c>
      <c r="C14" t="s">
        <v>55</v>
      </c>
      <c r="D14">
        <v>74</v>
      </c>
      <c r="E14">
        <v>1760</v>
      </c>
    </row>
    <row r="15" spans="1:10" x14ac:dyDescent="0.3">
      <c r="A15">
        <f t="shared" si="0"/>
        <v>14</v>
      </c>
      <c r="B15">
        <v>24</v>
      </c>
      <c r="C15" t="s">
        <v>55</v>
      </c>
      <c r="D15">
        <v>55</v>
      </c>
      <c r="E15">
        <v>1680</v>
      </c>
    </row>
    <row r="16" spans="1:10" x14ac:dyDescent="0.3">
      <c r="A16">
        <f t="shared" si="0"/>
        <v>15</v>
      </c>
      <c r="B16">
        <v>41</v>
      </c>
      <c r="C16" t="s">
        <v>56</v>
      </c>
      <c r="D16">
        <v>85</v>
      </c>
      <c r="E16">
        <v>1820</v>
      </c>
    </row>
    <row r="17" spans="1:5" x14ac:dyDescent="0.3">
      <c r="A17">
        <f t="shared" si="0"/>
        <v>16</v>
      </c>
      <c r="B17">
        <v>26</v>
      </c>
      <c r="C17" t="s">
        <v>56</v>
      </c>
      <c r="D17">
        <v>73</v>
      </c>
      <c r="E17">
        <v>1780</v>
      </c>
    </row>
    <row r="18" spans="1:5" x14ac:dyDescent="0.3">
      <c r="A18">
        <f t="shared" si="0"/>
        <v>17</v>
      </c>
      <c r="B18">
        <v>26</v>
      </c>
      <c r="C18" t="s">
        <v>56</v>
      </c>
      <c r="D18">
        <v>77</v>
      </c>
      <c r="E18">
        <v>1840</v>
      </c>
    </row>
    <row r="19" spans="1:5" x14ac:dyDescent="0.3">
      <c r="A19">
        <f t="shared" si="0"/>
        <v>18</v>
      </c>
      <c r="B19">
        <v>21</v>
      </c>
      <c r="C19" t="s">
        <v>56</v>
      </c>
      <c r="D19">
        <v>62</v>
      </c>
      <c r="E19">
        <v>1700</v>
      </c>
    </row>
    <row r="20" spans="1:5" x14ac:dyDescent="0.3">
      <c r="A20">
        <f t="shared" si="0"/>
        <v>19</v>
      </c>
      <c r="B20">
        <v>23</v>
      </c>
      <c r="C20" t="s">
        <v>56</v>
      </c>
      <c r="D20">
        <v>79</v>
      </c>
      <c r="E20">
        <v>1800</v>
      </c>
    </row>
    <row r="21" spans="1:5" x14ac:dyDescent="0.3">
      <c r="A21">
        <f t="shared" si="0"/>
        <v>20</v>
      </c>
      <c r="B21">
        <v>30</v>
      </c>
      <c r="C21" t="s">
        <v>56</v>
      </c>
      <c r="D21">
        <v>76</v>
      </c>
      <c r="E21">
        <v>1820</v>
      </c>
    </row>
    <row r="22" spans="1:5" x14ac:dyDescent="0.3">
      <c r="A22">
        <f t="shared" si="0"/>
        <v>21</v>
      </c>
      <c r="B22">
        <v>25</v>
      </c>
      <c r="C22" t="s">
        <v>55</v>
      </c>
      <c r="D22">
        <v>78</v>
      </c>
      <c r="E22">
        <v>1630</v>
      </c>
    </row>
    <row r="23" spans="1:5" x14ac:dyDescent="0.3">
      <c r="A23">
        <f t="shared" si="0"/>
        <v>22</v>
      </c>
      <c r="B23">
        <v>25</v>
      </c>
      <c r="C23" t="s">
        <v>56</v>
      </c>
      <c r="D23">
        <v>65</v>
      </c>
      <c r="E23">
        <v>1770</v>
      </c>
    </row>
    <row r="24" spans="1:5" x14ac:dyDescent="0.3">
      <c r="A24">
        <f t="shared" si="0"/>
        <v>23</v>
      </c>
      <c r="B24">
        <v>30</v>
      </c>
      <c r="C24" t="s">
        <v>55</v>
      </c>
      <c r="D24">
        <v>56</v>
      </c>
      <c r="E24">
        <v>1610</v>
      </c>
    </row>
    <row r="25" spans="1:5" x14ac:dyDescent="0.3">
      <c r="A25">
        <f t="shared" si="0"/>
        <v>24</v>
      </c>
      <c r="B25">
        <v>21</v>
      </c>
      <c r="C25" t="s">
        <v>55</v>
      </c>
      <c r="D25">
        <v>56</v>
      </c>
      <c r="E25">
        <v>1630</v>
      </c>
    </row>
    <row r="26" spans="1:5" x14ac:dyDescent="0.3">
      <c r="A26">
        <f t="shared" si="0"/>
        <v>25</v>
      </c>
      <c r="B26">
        <v>25</v>
      </c>
      <c r="C26" t="s">
        <v>56</v>
      </c>
      <c r="D26">
        <v>78</v>
      </c>
      <c r="E26">
        <v>1880</v>
      </c>
    </row>
    <row r="27" spans="1:5" x14ac:dyDescent="0.3">
      <c r="A27">
        <f t="shared" si="0"/>
        <v>26</v>
      </c>
      <c r="B27">
        <v>30</v>
      </c>
      <c r="C27" t="s">
        <v>55</v>
      </c>
      <c r="D27">
        <v>71</v>
      </c>
      <c r="E27">
        <v>1690</v>
      </c>
    </row>
    <row r="28" spans="1:5" x14ac:dyDescent="0.3">
      <c r="A28">
        <f t="shared" si="0"/>
        <v>27</v>
      </c>
      <c r="B28">
        <v>21</v>
      </c>
      <c r="C28" t="s">
        <v>55</v>
      </c>
      <c r="D28">
        <v>53</v>
      </c>
      <c r="E28">
        <v>1600</v>
      </c>
    </row>
    <row r="29" spans="1:5" x14ac:dyDescent="0.3">
      <c r="A29">
        <f t="shared" si="0"/>
        <v>28</v>
      </c>
      <c r="B29">
        <v>35</v>
      </c>
      <c r="C29" t="s">
        <v>56</v>
      </c>
      <c r="D29">
        <v>71</v>
      </c>
      <c r="E29">
        <v>1800</v>
      </c>
    </row>
    <row r="30" spans="1:5" x14ac:dyDescent="0.3">
      <c r="A30">
        <f t="shared" si="0"/>
        <v>29</v>
      </c>
      <c r="B30">
        <v>31</v>
      </c>
      <c r="C30" t="s">
        <v>55</v>
      </c>
      <c r="D30">
        <v>71</v>
      </c>
      <c r="E30">
        <v>1650</v>
      </c>
    </row>
    <row r="31" spans="1:5" x14ac:dyDescent="0.3">
      <c r="A31">
        <f t="shared" si="0"/>
        <v>30</v>
      </c>
      <c r="B31">
        <v>38</v>
      </c>
      <c r="C31" t="s">
        <v>56</v>
      </c>
      <c r="D31">
        <v>92</v>
      </c>
      <c r="E31">
        <v>1830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zoomScaleNormal="100" workbookViewId="0">
      <selection activeCell="G1" sqref="G1:J1"/>
    </sheetView>
  </sheetViews>
  <sheetFormatPr defaultColWidth="8.77734375" defaultRowHeight="14.4" x14ac:dyDescent="0.3"/>
  <cols>
    <col min="1" max="1" width="15.77734375" customWidth="1"/>
    <col min="4" max="4" width="10.77734375" customWidth="1"/>
    <col min="5" max="5" width="12.44140625" customWidth="1"/>
    <col min="6" max="6" width="14.109375" customWidth="1"/>
    <col min="7" max="7" width="9.88671875" customWidth="1"/>
    <col min="8" max="8" width="14.109375" customWidth="1"/>
    <col min="9" max="9" width="16.88671875" customWidth="1"/>
    <col min="10" max="10" width="16.6640625" customWidth="1"/>
  </cols>
  <sheetData>
    <row r="1" spans="1:10" x14ac:dyDescent="0.3">
      <c r="A1" t="s">
        <v>57</v>
      </c>
      <c r="B1" t="s">
        <v>51</v>
      </c>
      <c r="C1" t="s">
        <v>52</v>
      </c>
      <c r="D1" t="s">
        <v>53</v>
      </c>
      <c r="E1" t="s">
        <v>65</v>
      </c>
      <c r="G1" t="s">
        <v>66</v>
      </c>
      <c r="H1" t="s">
        <v>67</v>
      </c>
      <c r="I1" t="s">
        <v>68</v>
      </c>
      <c r="J1" t="s">
        <v>70</v>
      </c>
    </row>
    <row r="2" spans="1:10" x14ac:dyDescent="0.3">
      <c r="A2">
        <v>1</v>
      </c>
      <c r="B2">
        <v>24</v>
      </c>
      <c r="C2" t="s">
        <v>56</v>
      </c>
      <c r="D2">
        <v>74</v>
      </c>
      <c r="E2">
        <v>175</v>
      </c>
      <c r="G2">
        <v>1</v>
      </c>
      <c r="H2">
        <v>21</v>
      </c>
    </row>
    <row r="3" spans="1:10" x14ac:dyDescent="0.3">
      <c r="A3">
        <v>2</v>
      </c>
      <c r="B3">
        <v>24</v>
      </c>
      <c r="C3" t="s">
        <v>56</v>
      </c>
      <c r="D3">
        <v>72</v>
      </c>
      <c r="E3">
        <v>172</v>
      </c>
      <c r="G3">
        <v>1</v>
      </c>
      <c r="H3">
        <v>23</v>
      </c>
    </row>
    <row r="4" spans="1:10" x14ac:dyDescent="0.3">
      <c r="A4">
        <v>3</v>
      </c>
      <c r="B4">
        <v>23</v>
      </c>
      <c r="C4" t="s">
        <v>56</v>
      </c>
      <c r="D4">
        <v>80</v>
      </c>
      <c r="E4">
        <v>178</v>
      </c>
      <c r="G4">
        <v>1</v>
      </c>
      <c r="H4">
        <v>24</v>
      </c>
    </row>
    <row r="5" spans="1:10" x14ac:dyDescent="0.3">
      <c r="A5">
        <v>4</v>
      </c>
      <c r="B5">
        <v>23</v>
      </c>
      <c r="C5" t="s">
        <v>56</v>
      </c>
      <c r="D5">
        <v>60</v>
      </c>
      <c r="E5">
        <v>170</v>
      </c>
      <c r="G5">
        <v>1</v>
      </c>
      <c r="H5">
        <v>17</v>
      </c>
    </row>
    <row r="6" spans="1:10" x14ac:dyDescent="0.3">
      <c r="A6">
        <v>5</v>
      </c>
      <c r="B6">
        <v>21</v>
      </c>
      <c r="C6" t="s">
        <v>56</v>
      </c>
      <c r="D6">
        <v>71</v>
      </c>
      <c r="E6">
        <v>171</v>
      </c>
      <c r="G6">
        <v>1</v>
      </c>
      <c r="H6">
        <v>25</v>
      </c>
    </row>
    <row r="7" spans="1:10" x14ac:dyDescent="0.3">
      <c r="A7">
        <v>6</v>
      </c>
      <c r="B7">
        <v>20</v>
      </c>
      <c r="C7" t="s">
        <v>56</v>
      </c>
      <c r="D7">
        <v>65</v>
      </c>
      <c r="E7">
        <v>168</v>
      </c>
      <c r="G7">
        <v>1</v>
      </c>
      <c r="H7">
        <v>24</v>
      </c>
    </row>
    <row r="8" spans="1:10" x14ac:dyDescent="0.3">
      <c r="A8">
        <v>7</v>
      </c>
      <c r="B8">
        <v>25</v>
      </c>
      <c r="C8" t="s">
        <v>56</v>
      </c>
      <c r="D8">
        <v>72</v>
      </c>
      <c r="E8">
        <v>176</v>
      </c>
      <c r="G8">
        <v>1</v>
      </c>
      <c r="H8">
        <v>19</v>
      </c>
    </row>
    <row r="9" spans="1:10" x14ac:dyDescent="0.3">
      <c r="A9">
        <v>8</v>
      </c>
      <c r="B9">
        <v>23</v>
      </c>
      <c r="C9" t="s">
        <v>56</v>
      </c>
      <c r="D9">
        <v>85</v>
      </c>
      <c r="E9">
        <v>181</v>
      </c>
      <c r="G9">
        <v>1</v>
      </c>
      <c r="H9">
        <v>21</v>
      </c>
    </row>
    <row r="10" spans="1:10" x14ac:dyDescent="0.3">
      <c r="A10">
        <v>9</v>
      </c>
      <c r="B10">
        <v>24</v>
      </c>
      <c r="C10" t="s">
        <v>56</v>
      </c>
      <c r="D10">
        <v>76</v>
      </c>
      <c r="E10">
        <v>183</v>
      </c>
      <c r="G10">
        <v>1</v>
      </c>
      <c r="H10">
        <v>23</v>
      </c>
    </row>
    <row r="11" spans="1:10" x14ac:dyDescent="0.3">
      <c r="A11">
        <v>10</v>
      </c>
      <c r="B11">
        <v>20</v>
      </c>
      <c r="C11" t="s">
        <v>56</v>
      </c>
      <c r="D11">
        <v>80</v>
      </c>
      <c r="E11">
        <v>182</v>
      </c>
      <c r="G11">
        <v>1</v>
      </c>
      <c r="H11">
        <v>23</v>
      </c>
    </row>
    <row r="12" spans="1:10" x14ac:dyDescent="0.3">
      <c r="A12">
        <v>11</v>
      </c>
      <c r="B12">
        <v>23</v>
      </c>
      <c r="C12" t="s">
        <v>56</v>
      </c>
      <c r="D12">
        <v>75</v>
      </c>
      <c r="E12">
        <v>175</v>
      </c>
      <c r="G12">
        <v>1</v>
      </c>
      <c r="H12">
        <v>27</v>
      </c>
    </row>
    <row r="13" spans="1:10" x14ac:dyDescent="0.3">
      <c r="A13">
        <v>12</v>
      </c>
      <c r="B13">
        <v>24</v>
      </c>
      <c r="C13" t="s">
        <v>56</v>
      </c>
      <c r="D13">
        <v>80</v>
      </c>
      <c r="E13">
        <v>177</v>
      </c>
      <c r="G13">
        <v>1</v>
      </c>
      <c r="H13">
        <v>28</v>
      </c>
    </row>
    <row r="14" spans="1:10" x14ac:dyDescent="0.3">
      <c r="A14">
        <v>13</v>
      </c>
      <c r="B14">
        <v>21</v>
      </c>
      <c r="C14" t="s">
        <v>56</v>
      </c>
      <c r="D14">
        <v>58</v>
      </c>
      <c r="E14">
        <v>170</v>
      </c>
      <c r="G14">
        <v>1</v>
      </c>
      <c r="H14">
        <v>27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zoomScaleNormal="100" workbookViewId="0">
      <selection activeCell="G1" sqref="G1:J1"/>
    </sheetView>
  </sheetViews>
  <sheetFormatPr defaultColWidth="8.77734375" defaultRowHeight="14.4" x14ac:dyDescent="0.3"/>
  <cols>
    <col min="9" max="9" width="16" customWidth="1"/>
    <col min="10" max="10" width="16.44140625" customWidth="1"/>
  </cols>
  <sheetData>
    <row r="1" spans="1:10" x14ac:dyDescent="0.3">
      <c r="A1" t="s">
        <v>57</v>
      </c>
      <c r="B1" t="s">
        <v>51</v>
      </c>
      <c r="C1" t="s">
        <v>52</v>
      </c>
      <c r="D1" t="s">
        <v>58</v>
      </c>
      <c r="E1" t="s">
        <v>54</v>
      </c>
      <c r="G1" t="s">
        <v>66</v>
      </c>
      <c r="H1" t="s">
        <v>67</v>
      </c>
      <c r="I1" t="s">
        <v>68</v>
      </c>
      <c r="J1" t="s">
        <v>70</v>
      </c>
    </row>
    <row r="2" spans="1:10" x14ac:dyDescent="0.3">
      <c r="A2">
        <v>1</v>
      </c>
      <c r="G2">
        <v>0</v>
      </c>
      <c r="H2">
        <v>4</v>
      </c>
    </row>
    <row r="3" spans="1:10" x14ac:dyDescent="0.3">
      <c r="A3">
        <v>2</v>
      </c>
      <c r="G3">
        <v>0</v>
      </c>
      <c r="H3">
        <v>2</v>
      </c>
    </row>
    <row r="4" spans="1:10" x14ac:dyDescent="0.3">
      <c r="A4">
        <v>3</v>
      </c>
      <c r="G4" t="s">
        <v>69</v>
      </c>
      <c r="H4" t="s">
        <v>69</v>
      </c>
    </row>
    <row r="5" spans="1:10" x14ac:dyDescent="0.3">
      <c r="A5">
        <v>4</v>
      </c>
      <c r="G5">
        <v>0</v>
      </c>
      <c r="H5">
        <v>3</v>
      </c>
    </row>
    <row r="6" spans="1:10" x14ac:dyDescent="0.3">
      <c r="A6">
        <v>5</v>
      </c>
      <c r="G6">
        <v>0</v>
      </c>
      <c r="H6">
        <v>3</v>
      </c>
    </row>
    <row r="7" spans="1:10" x14ac:dyDescent="0.3">
      <c r="A7">
        <v>6</v>
      </c>
      <c r="G7">
        <v>0</v>
      </c>
      <c r="H7">
        <v>3</v>
      </c>
    </row>
    <row r="8" spans="1:10" x14ac:dyDescent="0.3">
      <c r="A8">
        <v>7</v>
      </c>
      <c r="G8">
        <v>0</v>
      </c>
      <c r="H8">
        <v>3</v>
      </c>
    </row>
    <row r="9" spans="1:10" x14ac:dyDescent="0.3">
      <c r="A9">
        <v>8</v>
      </c>
      <c r="G9">
        <v>0</v>
      </c>
      <c r="H9">
        <v>3</v>
      </c>
    </row>
    <row r="10" spans="1:10" x14ac:dyDescent="0.3">
      <c r="A10">
        <v>9</v>
      </c>
      <c r="G10">
        <v>0</v>
      </c>
      <c r="H10">
        <v>3</v>
      </c>
    </row>
    <row r="11" spans="1:10" x14ac:dyDescent="0.3">
      <c r="A11">
        <v>10</v>
      </c>
      <c r="G11">
        <v>0</v>
      </c>
      <c r="H11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"/>
  <sheetViews>
    <sheetView zoomScaleNormal="100" workbookViewId="0">
      <selection activeCell="G2" sqref="G2"/>
    </sheetView>
  </sheetViews>
  <sheetFormatPr defaultColWidth="8.77734375" defaultRowHeight="14.4" x14ac:dyDescent="0.3"/>
  <cols>
    <col min="1" max="1" width="14.6640625" customWidth="1"/>
    <col min="4" max="4" width="11.33203125" customWidth="1"/>
    <col min="7" max="7" width="9.6640625" customWidth="1"/>
    <col min="8" max="8" width="14.77734375" customWidth="1"/>
    <col min="9" max="9" width="16" customWidth="1"/>
    <col min="10" max="10" width="17.77734375" customWidth="1"/>
  </cols>
  <sheetData>
    <row r="1" spans="1:10" x14ac:dyDescent="0.3">
      <c r="A1" t="s">
        <v>57</v>
      </c>
      <c r="B1" t="s">
        <v>51</v>
      </c>
      <c r="C1" t="s">
        <v>52</v>
      </c>
      <c r="D1" t="s">
        <v>59</v>
      </c>
      <c r="E1" t="s">
        <v>60</v>
      </c>
      <c r="G1" t="s">
        <v>66</v>
      </c>
      <c r="H1" t="s">
        <v>67</v>
      </c>
      <c r="I1" t="s">
        <v>68</v>
      </c>
      <c r="J1" t="s">
        <v>70</v>
      </c>
    </row>
    <row r="2" spans="1:10" x14ac:dyDescent="0.3">
      <c r="A2">
        <v>1</v>
      </c>
      <c r="B2" t="s">
        <v>61</v>
      </c>
      <c r="C2" t="s">
        <v>55</v>
      </c>
      <c r="D2">
        <v>69.86</v>
      </c>
      <c r="E2">
        <v>1.68</v>
      </c>
    </row>
    <row r="3" spans="1:10" x14ac:dyDescent="0.3">
      <c r="A3">
        <v>2</v>
      </c>
      <c r="B3" t="s">
        <v>61</v>
      </c>
      <c r="C3" t="s">
        <v>56</v>
      </c>
      <c r="D3">
        <v>66.680000000000007</v>
      </c>
      <c r="E3">
        <v>1.7</v>
      </c>
    </row>
    <row r="4" spans="1:10" x14ac:dyDescent="0.3">
      <c r="A4">
        <v>3</v>
      </c>
      <c r="B4" t="s">
        <v>61</v>
      </c>
      <c r="C4" t="s">
        <v>55</v>
      </c>
      <c r="D4">
        <v>53.07</v>
      </c>
      <c r="E4">
        <v>1.59</v>
      </c>
    </row>
    <row r="5" spans="1:10" x14ac:dyDescent="0.3">
      <c r="A5">
        <v>4</v>
      </c>
      <c r="B5" t="s">
        <v>61</v>
      </c>
      <c r="C5" t="s">
        <v>56</v>
      </c>
      <c r="D5">
        <v>71.67</v>
      </c>
      <c r="E5">
        <v>1.82</v>
      </c>
    </row>
    <row r="6" spans="1:10" x14ac:dyDescent="0.3">
      <c r="A6">
        <v>5</v>
      </c>
      <c r="B6" t="s">
        <v>61</v>
      </c>
      <c r="C6" t="s">
        <v>56</v>
      </c>
      <c r="D6">
        <v>90.7</v>
      </c>
      <c r="E6">
        <v>1.95</v>
      </c>
    </row>
    <row r="7" spans="1:10" x14ac:dyDescent="0.3">
      <c r="A7">
        <v>6</v>
      </c>
      <c r="B7" t="s">
        <v>61</v>
      </c>
      <c r="C7" t="s">
        <v>55</v>
      </c>
      <c r="D7">
        <v>48.99</v>
      </c>
      <c r="E7">
        <v>1.53</v>
      </c>
    </row>
    <row r="8" spans="1:10" x14ac:dyDescent="0.3">
      <c r="A8">
        <v>7</v>
      </c>
      <c r="B8" t="s">
        <v>61</v>
      </c>
      <c r="C8" t="s">
        <v>55</v>
      </c>
      <c r="D8">
        <v>63.96</v>
      </c>
      <c r="E8">
        <v>1.75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DB1</vt:lpstr>
      <vt:lpstr>DB2</vt:lpstr>
      <vt:lpstr>DB3</vt:lpstr>
      <vt:lpstr>DB4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7</cp:revision>
  <dcterms:created xsi:type="dcterms:W3CDTF">2015-06-05T18:17:20Z</dcterms:created>
  <dcterms:modified xsi:type="dcterms:W3CDTF">2026-04-02T15:10:59Z</dcterms:modified>
  <dc:language>en-US</dc:language>
</cp:coreProperties>
</file>