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z0051rra\TeamProject\data\"/>
    </mc:Choice>
  </mc:AlternateContent>
  <xr:revisionPtr revIDLastSave="0" documentId="13_ncr:1_{9EE6372F-ACDE-4C6B-A760-E706BC3DFEC8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2" i="2" l="1" a="1"/>
  <c r="L12" i="2" s="1"/>
  <c r="L2" i="5" a="1"/>
  <c r="L2" i="5" s="1"/>
  <c r="H9" i="7"/>
  <c r="H12" i="6"/>
  <c r="H15" i="3"/>
  <c r="H5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<sst xmlns="http://schemas.openxmlformats.org/spreadsheetml/2006/main" count="427" uniqueCount="114">
  <si>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</si>
  <si>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</si>
  <si>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</si>
  <si>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</si>
  <si>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</si>
  <si>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</si>
  <si>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</si>
  <si>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</si>
  <si>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</si>
  <si>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</si>
  <si>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</si>
  <si>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</si>
  <si>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</si>
  <si>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</si>
  <si>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</si>
  <si>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</si>
  <si>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</si>
  <si>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</si>
  <si>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</si>
  <si>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</si>
  <si>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</si>
  <si>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</si>
  <si>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</si>
  <si>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</si>
  <si>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</si>
  <si>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</si>
  <si>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</si>
  <si>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</si>
  <si>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</si>
  <si>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</si>
  <si>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</si>
  <si>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</si>
  <si>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</si>
  <si>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</si>
  <si>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</si>
  <si>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</si>
  <si>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</si>
  <si>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</si>
  <si>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</si>
  <si>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</si>
  <si>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</si>
  <si>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</si>
  <si>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</si>
  <si>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</si>
  <si>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</si>
  <si>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</si>
  <si>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</si>
  <si>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</si>
  <si>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</si>
  <si>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</si>
  <si>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</si>
  <si>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</si>
  <si>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</si>
  <si>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</si>
  <si>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</si>
  <si>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</si>
  <si>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</si>
  <si>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</si>
  <si>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</si>
  <si>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</si>
  <si>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</si>
  <si>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</si>
  <si>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</si>
  <si>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</si>
  <si>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</si>
  <si>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</si>
  <si>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</si>
  <si>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</si>
  <si>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</si>
  <si>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</si>
  <si>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</si>
  <si>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</si>
  <si>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</si>
  <si>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</si>
  <si>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</si>
  <si>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</si>
  <si>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</si>
  <si>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</si>
  <si>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</si>
  <si>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</si>
  <si>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</si>
  <si>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</si>
  <si>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</si>
  <si>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</si>
  <si>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</si>
  <si>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</si>
  <si>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</si>
  <si>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</si>
  <si>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</si>
  <si>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</si>
  <si>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</si>
  <si>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</si>
  <si>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</si>
  <si>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</si>
  <si>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</si>
  <si>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</si>
  <si>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</si>
  <si>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</si>
  <si>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</si>
  <si>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</si>
  <si>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</si>
  <si>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</si>
  <si>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</si>
  <si>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</si>
  <si>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</si>
  <si>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</si>
  <si>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</si>
  <si>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</si>
  <si>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</si>
  <si>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</si>
  <si>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</si>
  <si>
    <t>Mass (kg)</t>
  </si>
  <si>
    <t>Participant</t>
  </si>
  <si>
    <t>Error when processing in AddBiomechanics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</si>
</sst>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defaultColWidth="8.85546875" defaultRowHeight="15"/>
  <cols>
    <col min="1" max="1" width="11.85546875" customWidth="1"/>
    <col min="2" max="2" width="12.42578125" style="1" customWidth="1"/>
    <col min="3" max="3" width="18.140625" customWidth="1"/>
    <col min="4" max="4" width="33.85546875" customWidth="1"/>
    <col min="5" max="5" width="36" customWidth="1"/>
    <col min="6" max="6" width="23.7109375" style="1" customWidth="1"/>
    <col min="7" max="7" width="13.42578125" customWidth="1"/>
    <col min="9" max="9" width="9.85546875" customWidth="1"/>
    <col min="10" max="10" width="12.7109375" customWidth="1"/>
    <col min="11" max="11" width="14.28515625" customWidth="1"/>
    <col min="12" max="12" width="12.7109375" customWidth="1"/>
    <col min="13" max="13" width="20" customWidth="1"/>
    <col min="14" max="14" width="28.42578125" customWidth="1"/>
    <col min="15" max="15" width="24.42578125" customWidth="1"/>
    <col min="16" max="16" width="20" customWidth="1"/>
    <col min="17" max="17" width="40.85546875" style="1" customWidth="1"/>
    <col min="18" max="18" width="29.85546875" customWidth="1"/>
  </cols>
  <sheetData>
    <row r="1" spans="1:18" s="2" customFormat="1" ht="15.7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5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5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60">
      <c r="A4">
        <v>3</v>
      </c>
      <c r="B4" s="1" t="s">
        <v>36</v>
      </c>
      <c r="C4">
        <v>2024</v>
      </c>
      <c r="D4" s="1" t="s">
        <v>103</v>
      </c>
      <c r="E4" t="s">
        <v>19</v>
      </c>
      <c r="F4" s="1" t="s">
        <v>104</v>
      </c>
      <c r="G4">
        <v>20</v>
      </c>
      <c r="H4">
        <v>11</v>
      </c>
      <c r="I4">
        <v>9</v>
      </c>
      <c r="J4" t="s">
        <v>105</v>
      </c>
      <c r="K4" t="s">
        <v>106</v>
      </c>
      <c r="L4" t="s">
        <v>107</v>
      </c>
      <c r="O4" t="s">
        <v>108</v>
      </c>
      <c r="P4">
        <v>1</v>
      </c>
      <c r="Q4" s="1" t="s">
        <v>109</v>
      </c>
      <c r="R4" t="s">
        <v>110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60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5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60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5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opLeftCell="F40" zoomScale="132" zoomScaleNormal="87" workbookViewId="0">
      <selection activeCell="I12" sqref="I12"/>
    </sheetView>
  </sheetViews>
  <sheetFormatPr defaultColWidth="8.85546875" defaultRowHeight="15"/>
  <cols>
    <col min="1" max="1" width="10.140625" customWidth="1"/>
    <col min="2" max="2" width="10.85546875" customWidth="1"/>
    <col min="3" max="3" width="10.42578125" customWidth="1"/>
    <col min="4" max="4" width="12.7109375" customWidth="1"/>
    <col min="5" max="5" width="12" customWidth="1"/>
    <col min="6" max="6" width="5.28515625" customWidth="1"/>
    <col min="7" max="7" width="11.85546875" customWidth="1"/>
    <col min="8" max="8" width="16.7109375" customWidth="1"/>
    <col min="9" max="9" width="27.140625" bestFit="1" customWidth="1"/>
    <col min="10" max="10" width="16.85546875" customWidth="1"/>
    <col min="11" max="11" width="13" customWidth="1"/>
    <col min="12" max="12" width="9.28515625" customWidth="1"/>
    <col min="16" max="16" width="16.710937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I12">
        <v>6</v>
      </c>
      <c r="L12" cm="1">
        <f t="array" ref="L12:L21">P12:P21-I12:I21</f>
        <v>16</v>
      </c>
      <c r="P12">
        <v>22</v>
      </c>
    </row>
    <row r="13" spans="1: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I13">
        <v>9</v>
      </c>
      <c r="L13">
        <v>14</v>
      </c>
      <c r="P13">
        <v>23</v>
      </c>
    </row>
    <row r="14" spans="1: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I14">
        <v>7</v>
      </c>
      <c r="L14">
        <v>18</v>
      </c>
      <c r="P14">
        <v>25</v>
      </c>
    </row>
    <row r="15" spans="1: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I15">
        <v>10</v>
      </c>
      <c r="L15">
        <v>10</v>
      </c>
      <c r="P15">
        <v>20</v>
      </c>
    </row>
    <row r="16" spans="1: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I16">
        <v>9</v>
      </c>
      <c r="L16">
        <v>16</v>
      </c>
      <c r="P16">
        <v>25</v>
      </c>
    </row>
    <row r="17" spans="1: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I17">
        <v>12</v>
      </c>
      <c r="L17">
        <v>10</v>
      </c>
      <c r="P17">
        <v>22</v>
      </c>
    </row>
    <row r="18" spans="1: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I18">
        <v>9</v>
      </c>
      <c r="L18">
        <v>16</v>
      </c>
      <c r="P18">
        <v>25</v>
      </c>
    </row>
    <row r="19" spans="1: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I19">
        <v>11</v>
      </c>
      <c r="L19">
        <v>12</v>
      </c>
      <c r="P19">
        <v>23</v>
      </c>
    </row>
    <row r="20" spans="1: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I20">
        <v>8</v>
      </c>
      <c r="L20">
        <v>17</v>
      </c>
      <c r="P20">
        <v>25</v>
      </c>
    </row>
    <row r="21" spans="1: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I21">
        <v>10</v>
      </c>
      <c r="L21">
        <v>13</v>
      </c>
      <c r="P21">
        <v>23</v>
      </c>
    </row>
    <row r="22" spans="1: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7" sqref="E7"/>
    </sheetView>
  </sheetViews>
  <sheetFormatPr defaultColWidth="8.85546875" defaultRowHeight="15"/>
  <cols>
    <col min="8" max="8" width="10.42578125" customWidth="1"/>
    <col min="9" max="9" width="30.7109375" customWidth="1"/>
    <col min="10" max="10" width="33.140625" customWidth="1"/>
    <col min="11" max="11" width="36.7109375" customWidth="1"/>
    <col min="12" max="12" width="15.42578125" customWidth="1"/>
    <col min="14" max="14" width="14.140625" customWidth="1"/>
  </cols>
  <sheetData>
    <row r="1" spans="1:12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1.75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1.7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1.75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1.7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defaultColWidth="8.7109375" defaultRowHeight="15"/>
  <cols>
    <col min="7" max="7" width="8.85546875" bestFit="1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zoomScale="120" zoomScaleNormal="120" workbookViewId="0">
      <pane ySplit="1" topLeftCell="A29" activePane="bottomLeft" state="frozen"/>
      <selection pane="bottomLeft" activeCell="J47" sqref="J47"/>
    </sheetView>
  </sheetViews>
  <sheetFormatPr defaultColWidth="8.85546875" defaultRowHeight="15"/>
  <cols>
    <col min="6" max="6" width="0.85546875" customWidth="1"/>
    <col min="7" max="7" width="6.7109375" customWidth="1"/>
    <col min="8" max="8" width="14" customWidth="1"/>
    <col min="9" max="9" width="30.85546875" customWidth="1"/>
    <col min="10" max="10" width="48.42578125" customWidth="1"/>
  </cols>
  <sheetData>
    <row r="1" spans="1:16">
      <c r="A1" t="s">
        <v>70</v>
      </c>
      <c r="B1" t="s">
        <v>71</v>
      </c>
      <c r="C1" t="s">
        <v>72</v>
      </c>
      <c r="D1" t="s">
        <v>111</v>
      </c>
      <c r="E1" t="s">
        <v>74</v>
      </c>
      <c r="G1" t="s">
        <v>75</v>
      </c>
      <c r="H1" t="s">
        <v>95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96</v>
      </c>
      <c r="K14">
        <v>4</v>
      </c>
      <c r="L14" s="11">
        <v>18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  <c r="L15">
        <v>21</v>
      </c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  <c r="L16">
        <v>21</v>
      </c>
    </row>
    <row r="17" spans="1:12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97</v>
      </c>
      <c r="K17">
        <v>2</v>
      </c>
      <c r="L17" s="11">
        <v>19</v>
      </c>
    </row>
    <row r="18" spans="1:12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  <c r="L18">
        <v>20</v>
      </c>
    </row>
    <row r="19" spans="1:12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98</v>
      </c>
      <c r="K19">
        <v>21</v>
      </c>
      <c r="L19" s="11">
        <v>0</v>
      </c>
    </row>
    <row r="20" spans="1:12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  <c r="L20">
        <v>20</v>
      </c>
    </row>
    <row r="21" spans="1:12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  <c r="L21" s="11">
        <v>20</v>
      </c>
    </row>
    <row r="22" spans="1:12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  <c r="L22">
        <v>21</v>
      </c>
    </row>
    <row r="23" spans="1:12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  <c r="L23" s="11">
        <v>21</v>
      </c>
    </row>
    <row r="24" spans="1:12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 t="s">
        <v>113</v>
      </c>
      <c r="K24">
        <v>20</v>
      </c>
      <c r="L24" s="11">
        <v>0</v>
      </c>
    </row>
    <row r="25" spans="1:12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12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12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12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12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12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12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12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  <c r="B36" s="11">
        <v>24</v>
      </c>
      <c r="C36" s="11" t="s">
        <v>82</v>
      </c>
      <c r="D36" s="11">
        <v>94.2</v>
      </c>
      <c r="E36" s="11">
        <v>1.91</v>
      </c>
    </row>
    <row r="37" spans="1:8">
      <c r="A37">
        <v>36</v>
      </c>
      <c r="B37" s="11">
        <v>23</v>
      </c>
      <c r="C37" s="11" t="s">
        <v>82</v>
      </c>
      <c r="D37" s="11">
        <v>69.5</v>
      </c>
      <c r="E37" s="11">
        <v>1.88</v>
      </c>
    </row>
    <row r="38" spans="1:8">
      <c r="A38">
        <v>37</v>
      </c>
      <c r="B38" s="11">
        <v>26</v>
      </c>
      <c r="C38" s="11" t="s">
        <v>82</v>
      </c>
      <c r="D38" s="11">
        <v>72</v>
      </c>
      <c r="E38" s="11">
        <v>1.84</v>
      </c>
    </row>
    <row r="39" spans="1:8">
      <c r="A39">
        <v>38</v>
      </c>
      <c r="B39" s="11">
        <v>20</v>
      </c>
      <c r="C39" s="11" t="s">
        <v>89</v>
      </c>
      <c r="D39" s="11">
        <v>52.3</v>
      </c>
      <c r="E39" s="11">
        <v>1.58</v>
      </c>
    </row>
    <row r="40" spans="1:8">
      <c r="A40">
        <v>39</v>
      </c>
      <c r="B40" s="11">
        <v>25</v>
      </c>
      <c r="C40" s="11" t="s">
        <v>89</v>
      </c>
      <c r="D40" s="11">
        <v>60.4</v>
      </c>
      <c r="E40" s="11">
        <v>1.68</v>
      </c>
    </row>
    <row r="41" spans="1:8">
      <c r="A41">
        <v>40</v>
      </c>
      <c r="B41" s="11">
        <v>23</v>
      </c>
      <c r="C41" s="11" t="s">
        <v>89</v>
      </c>
      <c r="D41" s="11">
        <v>55</v>
      </c>
      <c r="E41" s="11">
        <v>1.64</v>
      </c>
    </row>
    <row r="42" spans="1:8">
      <c r="A42">
        <v>41</v>
      </c>
      <c r="B42" s="11">
        <v>21</v>
      </c>
      <c r="C42" s="11" t="s">
        <v>89</v>
      </c>
      <c r="D42" s="11">
        <v>69.7</v>
      </c>
      <c r="E42" s="11">
        <v>1.69</v>
      </c>
    </row>
    <row r="43" spans="1:8">
      <c r="A43">
        <v>42</v>
      </c>
      <c r="B43" s="11">
        <v>26</v>
      </c>
      <c r="C43" s="11" t="s">
        <v>89</v>
      </c>
      <c r="D43" s="11">
        <v>59.3</v>
      </c>
      <c r="E43" s="11">
        <v>1.69</v>
      </c>
    </row>
    <row r="44" spans="1:8">
      <c r="A44">
        <v>43</v>
      </c>
      <c r="B44" s="11">
        <v>25</v>
      </c>
      <c r="C44" s="11" t="s">
        <v>89</v>
      </c>
      <c r="D44" s="11">
        <v>54.5</v>
      </c>
      <c r="E44" s="11">
        <v>1.67</v>
      </c>
    </row>
    <row r="45" spans="1:8">
      <c r="A45">
        <v>44</v>
      </c>
      <c r="B45" s="11">
        <v>23</v>
      </c>
      <c r="C45" s="11" t="s">
        <v>89</v>
      </c>
      <c r="D45" s="11">
        <v>57.4</v>
      </c>
      <c r="E45" s="11">
        <v>1.75</v>
      </c>
    </row>
    <row r="46" spans="1:8">
      <c r="A46">
        <v>45</v>
      </c>
      <c r="B46" s="11">
        <v>27</v>
      </c>
      <c r="C46" s="11" t="s">
        <v>89</v>
      </c>
      <c r="D46" s="11">
        <v>47.3</v>
      </c>
      <c r="E46" s="11">
        <v>1.6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opLeftCell="A22" zoomScale="115" zoomScaleNormal="115" workbookViewId="0">
      <selection activeCell="L3" sqref="L3"/>
    </sheetView>
  </sheetViews>
  <sheetFormatPr defaultColWidth="8.7109375" defaultRowHeight="15"/>
  <cols>
    <col min="1" max="1" width="9.85546875" customWidth="1"/>
    <col min="3" max="3" width="8.85546875"/>
    <col min="4" max="4" width="13.7109375" customWidth="1"/>
    <col min="5" max="5" width="12.42578125" customWidth="1"/>
    <col min="8" max="8" width="21.28515625" customWidth="1"/>
    <col min="9" max="9" width="35.28515625" customWidth="1"/>
    <col min="10" max="10" width="50.85546875" customWidth="1"/>
  </cols>
  <sheetData>
    <row r="1" spans="1:16">
      <c r="A1" s="10" t="s">
        <v>112</v>
      </c>
      <c r="B1" s="10" t="s">
        <v>71</v>
      </c>
      <c r="C1" s="10" t="s">
        <v>72</v>
      </c>
      <c r="D1" t="s">
        <v>111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  <c r="L2" cm="1">
        <f t="array" ref="L2:L52">H2:H52-K2:K52</f>
        <v>0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89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82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89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82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82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82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82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82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82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82</v>
      </c>
      <c r="D32">
        <v>80.579689644200002</v>
      </c>
      <c r="E32">
        <v>1.83</v>
      </c>
      <c r="G32">
        <v>3</v>
      </c>
      <c r="H32">
        <v>40</v>
      </c>
      <c r="I32" t="s">
        <v>100</v>
      </c>
      <c r="K32">
        <v>40</v>
      </c>
      <c r="L32">
        <v>0</v>
      </c>
    </row>
    <row r="33" spans="1:12">
      <c r="A33">
        <v>32</v>
      </c>
      <c r="B33">
        <v>26</v>
      </c>
      <c r="C33" t="s">
        <v>82</v>
      </c>
      <c r="D33">
        <v>68.146280219349904</v>
      </c>
      <c r="E33">
        <v>1.69</v>
      </c>
      <c r="G33">
        <v>3</v>
      </c>
      <c r="H33">
        <v>44</v>
      </c>
      <c r="I33" t="s">
        <v>99</v>
      </c>
      <c r="K33">
        <v>3</v>
      </c>
      <c r="L33">
        <v>41</v>
      </c>
    </row>
    <row r="34" spans="1:12">
      <c r="A34">
        <v>33</v>
      </c>
      <c r="B34">
        <v>28</v>
      </c>
      <c r="C34" t="s">
        <v>89</v>
      </c>
      <c r="D34">
        <v>76.350187907485605</v>
      </c>
      <c r="E34">
        <v>1.61</v>
      </c>
      <c r="G34">
        <v>3</v>
      </c>
      <c r="H34">
        <v>41</v>
      </c>
      <c r="I34" t="s">
        <v>100</v>
      </c>
      <c r="K34">
        <v>41</v>
      </c>
      <c r="L34">
        <v>0</v>
      </c>
    </row>
    <row r="35" spans="1:12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G35">
        <v>3</v>
      </c>
      <c r="H35">
        <v>41</v>
      </c>
      <c r="I35" t="s">
        <v>100</v>
      </c>
      <c r="K35">
        <v>41</v>
      </c>
      <c r="L35">
        <v>0</v>
      </c>
    </row>
    <row r="36" spans="1:12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G36">
        <v>3</v>
      </c>
      <c r="H36">
        <v>40</v>
      </c>
      <c r="I36" t="s">
        <v>100</v>
      </c>
      <c r="K36">
        <v>40</v>
      </c>
      <c r="L36">
        <v>0</v>
      </c>
    </row>
    <row r="37" spans="1:12">
      <c r="A37">
        <v>36</v>
      </c>
      <c r="B37">
        <v>23</v>
      </c>
      <c r="C37" t="s">
        <v>82</v>
      </c>
      <c r="D37">
        <v>54.140492711229903</v>
      </c>
      <c r="E37">
        <v>1.696</v>
      </c>
      <c r="G37">
        <v>3</v>
      </c>
      <c r="H37">
        <v>40</v>
      </c>
      <c r="I37" t="s">
        <v>100</v>
      </c>
      <c r="K37">
        <v>40</v>
      </c>
      <c r="L37">
        <v>0</v>
      </c>
    </row>
    <row r="38" spans="1:12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G38">
        <v>3</v>
      </c>
      <c r="H38">
        <v>43</v>
      </c>
      <c r="I38" t="s">
        <v>100</v>
      </c>
      <c r="K38">
        <v>43</v>
      </c>
      <c r="L38">
        <v>0</v>
      </c>
    </row>
    <row r="39" spans="1:12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G39">
        <v>3</v>
      </c>
      <c r="H39">
        <v>40</v>
      </c>
      <c r="I39" t="s">
        <v>101</v>
      </c>
      <c r="K39">
        <v>6</v>
      </c>
      <c r="L39">
        <v>34</v>
      </c>
    </row>
    <row r="40" spans="1:12">
      <c r="A40">
        <v>39</v>
      </c>
      <c r="B40">
        <v>21</v>
      </c>
      <c r="C40" t="s">
        <v>89</v>
      </c>
      <c r="D40">
        <v>63.023042292533198</v>
      </c>
      <c r="E40">
        <v>1.7</v>
      </c>
      <c r="G40">
        <v>3</v>
      </c>
      <c r="H40">
        <v>44</v>
      </c>
      <c r="I40" t="s">
        <v>102</v>
      </c>
      <c r="K40">
        <v>7</v>
      </c>
      <c r="L40">
        <v>37</v>
      </c>
    </row>
    <row r="41" spans="1:12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G41">
        <v>3</v>
      </c>
      <c r="H41">
        <v>40</v>
      </c>
      <c r="I41" t="s">
        <v>100</v>
      </c>
      <c r="K41">
        <v>40</v>
      </c>
      <c r="L41">
        <v>0</v>
      </c>
    </row>
    <row r="42" spans="1:12">
      <c r="A42">
        <v>41</v>
      </c>
      <c r="B42">
        <v>28</v>
      </c>
      <c r="C42" t="s">
        <v>82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89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82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89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89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89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82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82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defaultColWidth="8.85546875" defaultRowHeight="15"/>
  <cols>
    <col min="8" max="8" width="10.85546875" customWidth="1"/>
    <col min="9" max="9" width="28.85546875" customWidth="1"/>
    <col min="10" max="10" width="33.140625" customWidth="1"/>
    <col min="11" max="11" width="36.7109375" customWidth="1"/>
    <col min="12" max="12" width="13.425781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defaultColWidth="8.85546875" defaultRowHeight="15"/>
  <cols>
    <col min="8" max="8" width="11.42578125" customWidth="1"/>
    <col min="9" max="9" width="29.85546875" customWidth="1"/>
    <col min="10" max="10" width="34" customWidth="1"/>
    <col min="11" max="11" width="36.8554687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867a8da-a586-4d74-a123-5474ccdeebfd}" enabled="1" method="Standard" siteId="{698c6ffb-74e3-4a84-be68-f22d8d3201a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Khan, Arbaz (IN IT CYS)</cp:lastModifiedBy>
  <cp:revision>12</cp:revision>
  <dcterms:created xsi:type="dcterms:W3CDTF">2015-06-05T18:17:20Z</dcterms:created>
  <dcterms:modified xsi:type="dcterms:W3CDTF">2026-06-17T15:26:31Z</dcterms:modified>
  <dc:language>en-US</dc:language>
</cp:coreProperties>
</file>